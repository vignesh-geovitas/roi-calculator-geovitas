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cuments\geovitas-roi-calculator\"/>
    </mc:Choice>
  </mc:AlternateContent>
  <xr:revisionPtr revIDLastSave="0" documentId="13_ncr:1_{0B46FC0A-E4A0-42F0-A602-68E7C5384E95}" xr6:coauthVersionLast="47" xr6:coauthVersionMax="47" xr10:uidLastSave="{00000000-0000-0000-0000-000000000000}"/>
  <bookViews>
    <workbookView xWindow="-108" yWindow="-108" windowWidth="23256" windowHeight="12456" tabRatio="500" xr2:uid="{00000000-000D-0000-FFFF-FFFF00000000}"/>
  </bookViews>
  <sheets>
    <sheet name="Cover" sheetId="1" r:id="rId1"/>
    <sheet name="Client Inputs" sheetId="2" r:id="rId2"/>
    <sheet name="Pricing Tiers" sheetId="3" r:id="rId3"/>
    <sheet name="Auto Ancillary Activities" sheetId="10" r:id="rId4"/>
    <sheet name="Emission Factors (India)" sheetId="11" r:id="rId5"/>
    <sheet name="Process Flow Diagrams" sheetId="12" r:id="rId6"/>
    <sheet name="Custom Process Flow" sheetId="13" r:id="rId7"/>
    <sheet name="Cost of Inaction" sheetId="4" r:id="rId8"/>
    <sheet name="GF360 Investment" sheetId="5" r:id="rId9"/>
    <sheet name="GF360 Benefits" sheetId="6" r:id="rId10"/>
    <sheet name="ROI Summary" sheetId="7" r:id="rId11"/>
    <sheet name="Sensitivity" sheetId="8" r:id="rId12"/>
    <sheet name="Assumptions &amp; Sources" sheetId="9" r:id="rId1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22" i="13" l="1"/>
  <c r="G21" i="13"/>
  <c r="G20" i="13"/>
  <c r="G19" i="13"/>
  <c r="J16" i="13"/>
  <c r="H16" i="13"/>
  <c r="F16" i="13"/>
  <c r="D16" i="13"/>
  <c r="B16" i="13"/>
  <c r="J15" i="13"/>
  <c r="H15" i="13"/>
  <c r="F15" i="13"/>
  <c r="D15" i="13"/>
  <c r="B15" i="13"/>
  <c r="J14" i="13"/>
  <c r="H14" i="13"/>
  <c r="F14" i="13"/>
  <c r="D14" i="13"/>
  <c r="B14" i="13"/>
  <c r="J13" i="13"/>
  <c r="H13" i="13"/>
  <c r="F13" i="13"/>
  <c r="D13" i="13"/>
  <c r="B13" i="13"/>
  <c r="J9" i="13"/>
  <c r="H9" i="13"/>
  <c r="F9" i="13"/>
  <c r="D9" i="13"/>
  <c r="B9" i="13"/>
  <c r="J8" i="13"/>
  <c r="H8" i="13"/>
  <c r="F8" i="13"/>
  <c r="D8" i="13"/>
  <c r="B8" i="13"/>
  <c r="J7" i="13"/>
  <c r="H7" i="13"/>
  <c r="F7" i="13"/>
  <c r="D7" i="13"/>
  <c r="B7" i="13"/>
  <c r="J6" i="13"/>
  <c r="H6" i="13"/>
  <c r="F6" i="13"/>
  <c r="D6" i="13"/>
  <c r="B6" i="13"/>
  <c r="H64" i="11"/>
  <c r="H58" i="11"/>
  <c r="E58" i="11"/>
  <c r="H57" i="11"/>
  <c r="E57" i="11"/>
  <c r="H56" i="11"/>
  <c r="E56" i="11"/>
  <c r="H55" i="11"/>
  <c r="E55" i="11"/>
  <c r="H54" i="11"/>
  <c r="E54" i="11"/>
  <c r="H53" i="11"/>
  <c r="H60" i="11" s="1"/>
  <c r="E53" i="11"/>
  <c r="F10" i="6"/>
  <c r="E10" i="6"/>
  <c r="D10" i="6"/>
  <c r="C10" i="6"/>
  <c r="B10" i="6"/>
  <c r="F12" i="4"/>
  <c r="F7" i="6" s="1"/>
  <c r="E12" i="4"/>
  <c r="E7" i="6" s="1"/>
  <c r="D12" i="4"/>
  <c r="D7" i="6" s="1"/>
  <c r="C12" i="4"/>
  <c r="B12" i="4"/>
  <c r="B7" i="6" s="1"/>
  <c r="F11" i="4"/>
  <c r="F6" i="6" s="1"/>
  <c r="E11" i="4"/>
  <c r="E6" i="6" s="1"/>
  <c r="D11" i="4"/>
  <c r="D6" i="6" s="1"/>
  <c r="C11" i="4"/>
  <c r="C6" i="6" s="1"/>
  <c r="B11" i="4"/>
  <c r="B6" i="6" s="1"/>
  <c r="B5" i="4"/>
  <c r="B6" i="4" s="1"/>
  <c r="B21" i="2"/>
  <c r="B6" i="5" s="1"/>
  <c r="B20" i="2"/>
  <c r="B5" i="5" s="1"/>
  <c r="B19" i="2"/>
  <c r="B4" i="5" s="1"/>
  <c r="A5" i="1"/>
  <c r="B16" i="4" l="1"/>
  <c r="H59" i="11"/>
  <c r="H61" i="11" s="1"/>
  <c r="H63" i="11" s="1"/>
  <c r="B7" i="4"/>
  <c r="B17" i="4"/>
  <c r="B18" i="4" s="1"/>
  <c r="G12" i="4"/>
  <c r="G6" i="6"/>
  <c r="B44" i="7" s="1"/>
  <c r="C5" i="4"/>
  <c r="C16" i="4" s="1"/>
  <c r="G10" i="6"/>
  <c r="B46" i="7" s="1"/>
  <c r="C4" i="5"/>
  <c r="B7" i="5"/>
  <c r="G5" i="5"/>
  <c r="C6" i="5"/>
  <c r="D6" i="5" s="1"/>
  <c r="E6" i="5" s="1"/>
  <c r="F6" i="5" s="1"/>
  <c r="B10" i="4"/>
  <c r="B5" i="6"/>
  <c r="B15" i="6"/>
  <c r="C7" i="6"/>
  <c r="G7" i="6" s="1"/>
  <c r="B45" i="7" s="1"/>
  <c r="G11" i="4"/>
  <c r="C6" i="4" l="1"/>
  <c r="D5" i="4"/>
  <c r="C17" i="4"/>
  <c r="C18" i="4" s="1"/>
  <c r="C7" i="4"/>
  <c r="B12" i="6"/>
  <c r="B13" i="4"/>
  <c r="B4" i="7"/>
  <c r="B8" i="5"/>
  <c r="E5" i="4"/>
  <c r="D16" i="4"/>
  <c r="D6" i="4"/>
  <c r="G6" i="5"/>
  <c r="D4" i="5"/>
  <c r="C7" i="5"/>
  <c r="C4" i="7" s="1"/>
  <c r="E4" i="5" l="1"/>
  <c r="D7" i="5"/>
  <c r="D4" i="7" s="1"/>
  <c r="E16" i="4"/>
  <c r="F5" i="4"/>
  <c r="E6" i="4"/>
  <c r="C10" i="4"/>
  <c r="C5" i="6"/>
  <c r="D7" i="4"/>
  <c r="D17" i="4"/>
  <c r="D18" i="4" s="1"/>
  <c r="D15" i="6" s="1"/>
  <c r="C8" i="5"/>
  <c r="D8" i="5" s="1"/>
  <c r="B20" i="4"/>
  <c r="B17" i="6"/>
  <c r="B5" i="7"/>
  <c r="B6" i="7" s="1"/>
  <c r="C15" i="6"/>
  <c r="B9" i="7" l="1"/>
  <c r="B10" i="7" s="1"/>
  <c r="C12" i="6"/>
  <c r="B7" i="7"/>
  <c r="D10" i="4"/>
  <c r="D13" i="4" s="1"/>
  <c r="D20" i="4" s="1"/>
  <c r="D5" i="6"/>
  <c r="D12" i="6" s="1"/>
  <c r="C13" i="4"/>
  <c r="E17" i="4"/>
  <c r="E18" i="4" s="1"/>
  <c r="E15" i="6" s="1"/>
  <c r="E7" i="4"/>
  <c r="F16" i="4"/>
  <c r="F6" i="4"/>
  <c r="E7" i="5"/>
  <c r="F4" i="5"/>
  <c r="E5" i="6" l="1"/>
  <c r="E12" i="6" s="1"/>
  <c r="E10" i="4"/>
  <c r="D17" i="6"/>
  <c r="D9" i="7" s="1"/>
  <c r="D10" i="7" s="1"/>
  <c r="D5" i="7"/>
  <c r="D6" i="7" s="1"/>
  <c r="B17" i="7"/>
  <c r="E4" i="7"/>
  <c r="B11" i="7"/>
  <c r="C20" i="4"/>
  <c r="F7" i="5"/>
  <c r="F4" i="7" s="1"/>
  <c r="G4" i="5"/>
  <c r="C17" i="6"/>
  <c r="C5" i="7"/>
  <c r="C6" i="7" s="1"/>
  <c r="C7" i="7" s="1"/>
  <c r="D7" i="7" s="1"/>
  <c r="E8" i="5"/>
  <c r="F8" i="5" s="1"/>
  <c r="G8" i="5" s="1"/>
  <c r="F17" i="4"/>
  <c r="F18" i="4" s="1"/>
  <c r="F15" i="6" s="1"/>
  <c r="G15" i="6" s="1"/>
  <c r="F7" i="4"/>
  <c r="G18" i="4" l="1"/>
  <c r="G7" i="5"/>
  <c r="G4" i="7" s="1"/>
  <c r="C20" i="8" s="1"/>
  <c r="F10" i="4"/>
  <c r="F13" i="4" s="1"/>
  <c r="F20" i="4" s="1"/>
  <c r="F5" i="6"/>
  <c r="C9" i="7"/>
  <c r="C10" i="7" s="1"/>
  <c r="E13" i="4"/>
  <c r="G10" i="4"/>
  <c r="C11" i="7"/>
  <c r="D11" i="7" s="1"/>
  <c r="C17" i="7"/>
  <c r="F20" i="8"/>
  <c r="E17" i="8"/>
  <c r="E20" i="8"/>
  <c r="D17" i="8"/>
  <c r="D8" i="8"/>
  <c r="D20" i="8"/>
  <c r="C17" i="8"/>
  <c r="F16" i="8"/>
  <c r="F19" i="8"/>
  <c r="E16" i="8"/>
  <c r="E19" i="8"/>
  <c r="D16" i="8"/>
  <c r="D7" i="8"/>
  <c r="D19" i="8"/>
  <c r="C16" i="8"/>
  <c r="C19" i="8"/>
  <c r="B16" i="8"/>
  <c r="B19" i="8"/>
  <c r="F15" i="8"/>
  <c r="F18" i="8"/>
  <c r="D15" i="8"/>
  <c r="F17" i="8"/>
  <c r="D18" i="8"/>
  <c r="C15" i="8"/>
  <c r="B15" i="8"/>
  <c r="C18" i="8"/>
  <c r="B18" i="8"/>
  <c r="E17" i="6"/>
  <c r="E9" i="7" s="1"/>
  <c r="E10" i="7" s="1"/>
  <c r="E5" i="7"/>
  <c r="E6" i="7" s="1"/>
  <c r="E18" i="8" l="1"/>
  <c r="B20" i="8"/>
  <c r="D6" i="8"/>
  <c r="B17" i="8"/>
  <c r="E15" i="8"/>
  <c r="E7" i="7"/>
  <c r="E20" i="4"/>
  <c r="G20" i="4" s="1"/>
  <c r="G13" i="4"/>
  <c r="E11" i="7"/>
  <c r="F12" i="6"/>
  <c r="G5" i="6"/>
  <c r="B43" i="7" s="1"/>
  <c r="F17" i="6" l="1"/>
  <c r="F5" i="7"/>
  <c r="F6" i="7" s="1"/>
  <c r="G12" i="6"/>
  <c r="G5" i="7" s="1"/>
  <c r="F7" i="7"/>
  <c r="G7" i="7" s="1"/>
  <c r="B18" i="7" l="1"/>
  <c r="G6" i="7"/>
  <c r="B19" i="7"/>
  <c r="C8" i="8"/>
  <c r="C7" i="8"/>
  <c r="C6" i="8"/>
  <c r="F9" i="7"/>
  <c r="F10" i="7" s="1"/>
  <c r="G17" i="6"/>
  <c r="G9" i="7" s="1"/>
  <c r="E6" i="8" l="1"/>
  <c r="F6" i="8" s="1"/>
  <c r="G6" i="8"/>
  <c r="E8" i="8"/>
  <c r="F8" i="8" s="1"/>
  <c r="G8" i="8"/>
  <c r="B16" i="7"/>
  <c r="B15" i="7"/>
  <c r="G10" i="7"/>
  <c r="C18" i="7"/>
  <c r="C19" i="7"/>
  <c r="F11" i="7"/>
  <c r="G11" i="7" s="1"/>
  <c r="E7" i="8"/>
  <c r="F7" i="8" s="1"/>
  <c r="G7" i="8"/>
  <c r="C16" i="7" l="1"/>
  <c r="C1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7" authorId="0" shapeId="0" xr:uid="{00000000-0006-0000-0300-000001000000}">
      <text>
        <r>
          <rPr>
            <sz val="10"/>
            <rFont val="Arial"/>
            <family val="2"/>
          </rPr>
          <t>EU export revenue + OEM/Tier-1-linked revenue. May overlap where OEM customers also re-export to the EU; treat as an upper-bound illustrative base, not an additive guarantee.</t>
        </r>
      </text>
    </comment>
    <comment ref="A18" authorId="0" shapeId="0" xr:uid="{00000000-0006-0000-0300-000002000000}">
      <text>
        <r>
          <rPr>
            <sz val="10"/>
            <rFont val="Arial"/>
            <family val="2"/>
          </rPr>
          <t>Revenue base at risk is converted to a margin/profit basis (via the Contribution Margin % assumption) before applying the probability of loss — losing a customer forfeits its margin contribution, not its full revenue.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5" authorId="0" shapeId="0" xr:uid="{00000000-0006-0000-0500-000001000000}">
      <text>
        <r>
          <rPr>
            <sz val="10"/>
            <rFont val="Arial"/>
            <family val="2"/>
          </rPr>
          <t>Difference between CBAM liability at EU default values and at GF360-verified actual emissions data: Emissions × Price × Premium%.</t>
        </r>
      </text>
    </comment>
    <comment ref="A15" authorId="0" shapeId="0" xr:uid="{00000000-0006-0000-0500-000002000000}">
      <text>
        <r>
          <rPr>
            <sz val="10"/>
            <rFont val="Arial"/>
            <family val="2"/>
          </rPr>
          <t>Probability-weighted margin-at-risk from Cost of Inaction (revenue-at-risk converted to a margin basis), multiplied by GF360's assumed risk-mitigation effectiveness. Illustrative — kept separate from hard, cash-basis benefits.</t>
        </r>
      </text>
    </comment>
  </commentList>
</comments>
</file>

<file path=xl/sharedStrings.xml><?xml version="1.0" encoding="utf-8"?>
<sst xmlns="http://schemas.openxmlformats.org/spreadsheetml/2006/main" count="2461" uniqueCount="1301">
  <si>
    <t>GREEN FACTORY 360</t>
  </si>
  <si>
    <t>Return on Investment (ROI) Model</t>
  </si>
  <si>
    <t>Prepared by: Sustainability &amp; Decarbonisation Advisory, Geovitas Environmental Services Pvt. Ltd.</t>
  </si>
  <si>
    <t>Date: July 2026        |        Classification: Client Pitch / Pre-Sales Working Model</t>
  </si>
  <si>
    <t>HOW TO USE THIS MODEL</t>
  </si>
  <si>
    <t>1.  Go to the 'Client Inputs' tab and enter the client's profile (turnover, energy spend, export exposure, etc.) and choose a GF360 tier — all BLUE cells are editable.</t>
  </si>
  <si>
    <t>2.  Review 'Pricing Tiers' to confirm the subscription/implementation/advisory fees pulled in for the selected tier.</t>
  </si>
  <si>
    <t>3.  'Cost of Inaction' models what the client is exposed to WITHOUT GF360 (CBAM default-value penalties, manual assessment costs, compliance risk).</t>
  </si>
  <si>
    <t>4.  'GF360 Investment' and 'GF360 Benefits' build the 5-year cost and savings case; 'ROI Summary' rolls these into Net Benefit, ROI%, Payback, NPV and IRR, with charts.</t>
  </si>
  <si>
    <t>5.  'Sensitivity' stress-tests the result under Conservative / Base / Aggressive assumptions and a 2-variable ROI grid.</t>
  </si>
  <si>
    <t>6.  'Assumptions &amp; Sources' documents every hardcoded assumption — replace placeholders with client-specific data collected during discovery before using this in a binding proposal.</t>
  </si>
  <si>
    <t>COLOR LEGEND</t>
  </si>
  <si>
    <t>■</t>
  </si>
  <si>
    <t>Blue text — hardcoded input. Change these to reflect the client's actual data.</t>
  </si>
  <si>
    <t>Black text — formula / calculation. Do not overwrite.</t>
  </si>
  <si>
    <t>Green text — link pulling from another worksheet in this workbook.</t>
  </si>
  <si>
    <t>This is a pitch/pre-sales modelling template. Validate all client-specific figures during discovery before quoting binding numbers.</t>
  </si>
  <si>
    <t>CLIENT INPUTS &amp; ENGAGEMENT PARAMETERS</t>
  </si>
  <si>
    <t>1. Company Profile</t>
  </si>
  <si>
    <t>Client / Company Name</t>
  </si>
  <si>
    <t>[Enter Client Company Name]</t>
  </si>
  <si>
    <t>Industry / Sector</t>
  </si>
  <si>
    <t>General Manufacturing</t>
  </si>
  <si>
    <t>Annual Turnover (Rs Cr)</t>
  </si>
  <si>
    <t>Assumed Annual Revenue Growth (%)</t>
  </si>
  <si>
    <t>Number of Manufacturing Facilities</t>
  </si>
  <si>
    <t>Annual Energy Spend (Rs Lakh)</t>
  </si>
  <si>
    <t>% Revenue from EU Exports</t>
  </si>
  <si>
    <t>% Revenue from OEM / Tier-1 Customers Requiring ESG Data</t>
  </si>
  <si>
    <t>Current GHG Data Maturity</t>
  </si>
  <si>
    <t>Manual spreadsheets</t>
  </si>
  <si>
    <t>Embedded Emissions Intensity (tCO2e per Rs Cr Revenue)</t>
  </si>
  <si>
    <t>Blended Internal Staff Cost (Rs per person-day)</t>
  </si>
  <si>
    <t>Annual Person-Days on Manual Carbon/ESG Data Collection (Without GF360)</t>
  </si>
  <si>
    <t>2. GF360 Engagement Parameters</t>
  </si>
  <si>
    <t>Selected GF360 Tier</t>
  </si>
  <si>
    <t>Growth</t>
  </si>
  <si>
    <t>Annual Subscription Fee (Rs Lakh)</t>
  </si>
  <si>
    <t>One-time Implementation / Onboarding Fee (Rs Lakh)</t>
  </si>
  <si>
    <t>Advisory / Verification Support Bundle (Rs Lakh per year)</t>
  </si>
  <si>
    <t>Contract Term (Years)</t>
  </si>
  <si>
    <t>Annual Subscription / Advisory Escalation (%)</t>
  </si>
  <si>
    <t>Automation Efficiency Gain on Manual Reporting Effort (%)</t>
  </si>
  <si>
    <t>3. Regulatory &amp; Market Assumptions (Editable)</t>
  </si>
  <si>
    <t>Note: CBAM applies today to steel, aluminium, cement, fertilisers, hydrogen and electricity, with a proposed downstream expansion to further manufactured products (incl. auto components) from 2028. For sectors with no current or anticipated CBAM exposure, set 'CBAM Default-Value Cost Premium' and/or '% Revenue from EU Exports' to 0% to remove this line from the model.</t>
  </si>
  <si>
    <t>EU CBAM Certificate Price (EUR per tCO2e)</t>
  </si>
  <si>
    <t>EUR to INR Exchange Rate</t>
  </si>
  <si>
    <t>CBAM Default-Value Cost Premium (%)</t>
  </si>
  <si>
    <t>Energy Efficiency Savings — Year 1 (%)</t>
  </si>
  <si>
    <t>Energy Efficiency Savings — Year 2 (%)</t>
  </si>
  <si>
    <t>Energy Efficiency Savings — Year 3 Onward (%)</t>
  </si>
  <si>
    <t>Avoided Annual Consultant / Big-4 Assessment Fee (Rs Lakh)</t>
  </si>
  <si>
    <t>Probability-Weighted Revenue-at-Risk without Compliance (%)</t>
  </si>
  <si>
    <t>GF360 Risk-Mitigation Effectiveness (%)</t>
  </si>
  <si>
    <t>Discount Rate / WACC for NPV (%)</t>
  </si>
  <si>
    <t>Contribution Margin / EBITDA % (Applied to Revenue-at-Risk)</t>
  </si>
  <si>
    <t>GF360 TIERED PRICING — REFERENCE TABLE</t>
  </si>
  <si>
    <t>Tier</t>
  </si>
  <si>
    <t>Target Turnover Band</t>
  </si>
  <si>
    <t>Annual Subscription (Rs Lakh)</t>
  </si>
  <si>
    <t>Implementation Fee (Rs Lakh)</t>
  </si>
  <si>
    <t>Advisory / Verification Bundle (Rs Lakh/yr)</t>
  </si>
  <si>
    <t>Key Features Included</t>
  </si>
  <si>
    <t>Starter</t>
  </si>
  <si>
    <t>&lt; Rs 100 Cr</t>
  </si>
  <si>
    <t>Scope 1 &amp; 2 tracking, basic MRV dashboards, single-facility, self-serve reporting</t>
  </si>
  <si>
    <t>Rs 100 – 500 Cr</t>
  </si>
  <si>
    <t>Scope 1/2/3, CBAM/CCTS/BRSR compliance modules, multi-facility, supplier engagement portal, quarterly advisory</t>
  </si>
  <si>
    <t>Enterprise</t>
  </si>
  <si>
    <t>&gt; Rs 500 Cr</t>
  </si>
  <si>
    <t>Full MRV, ERP/API integrations, carbon-credit monetisation support, dedicated Customer Success Manager, verification support</t>
  </si>
  <si>
    <t>Source: GF360 Value-Based Tiered SaaS pricing strategy, aligned to the Indian/APAC bundled software + advisory market pattern documented in GF360 market research (July 2026, originally scoped for the auto-ancillary sector; applied here as a general cross-industry benchmark). Confirm current published rates before quoting.</t>
  </si>
  <si>
    <t>COST OF INACTION — BASELINE WITHOUT GF360</t>
  </si>
  <si>
    <t>Year 1</t>
  </si>
  <si>
    <t>Year 2</t>
  </si>
  <si>
    <t>Year 3</t>
  </si>
  <si>
    <t>Year 4</t>
  </si>
  <si>
    <t>Year 5</t>
  </si>
  <si>
    <t>5-Yr Total</t>
  </si>
  <si>
    <t>Baseline Revenue &amp; Emissions (Intermediate Calculation)</t>
  </si>
  <si>
    <t>Total Annual Turnover (Rs Cr)</t>
  </si>
  <si>
    <t>(stock — not summed)</t>
  </si>
  <si>
    <t>EU Export Revenue (Rs Cr)</t>
  </si>
  <si>
    <t>Embedded Emissions Subject to CBAM (tCO2e)</t>
  </si>
  <si>
    <t>Hard Costs of Inaction (Without GF360)</t>
  </si>
  <si>
    <t>CBAM Liability at Default Values (Rs Lakh)</t>
  </si>
  <si>
    <t>Annual Consultant / Big-4 Assessment Fee (Rs Lakh)</t>
  </si>
  <si>
    <t>Internal Staff Time Cost — Manual Data Collection (Rs Lakh)</t>
  </si>
  <si>
    <t>Subtotal — Hard Cost of Inaction (Rs Lakh)</t>
  </si>
  <si>
    <t>Risk-Adjusted Exposure (Illustrative — Shown Separately)</t>
  </si>
  <si>
    <t>OEM / Tier-1-Linked Revenue Requiring ESG Data (Rs Cr)</t>
  </si>
  <si>
    <t>Total Revenue Base at Compliance Risk (Rs Cr)</t>
  </si>
  <si>
    <t>Probability-Weighted Margin-at-Risk (Rs Lakh)</t>
  </si>
  <si>
    <t>Total Cost of Inaction Incl. Risk Exposure (Rs Lakh)</t>
  </si>
  <si>
    <t>GF360 INVESTMENT (COST) — 5-YEAR VIEW</t>
  </si>
  <si>
    <t>Advisory / Verification Support Bundle (Rs Lakh)</t>
  </si>
  <si>
    <t>Total Annual Investment (Rs Lakh)</t>
  </si>
  <si>
    <t>Cumulative Investment (Rs Lakh)</t>
  </si>
  <si>
    <t>GF360 BENEFITS — 5-YEAR VIEW</t>
  </si>
  <si>
    <t>Direct Cost Avoidance</t>
  </si>
  <si>
    <t>CBAM Cost Avoidance — Premium Portion (Rs Lakh)</t>
  </si>
  <si>
    <t>Avoided Consultant / Big-4 Assessment Fee (Rs Lakh)</t>
  </si>
  <si>
    <t>Internal Staff Time Savings via Automation (Rs Lakh)</t>
  </si>
  <si>
    <t>Operational Efficiency Savings</t>
  </si>
  <si>
    <t>Energy Efficiency Savings from Decarbonisation Roadmap (Rs Lakh)</t>
  </si>
  <si>
    <t>Subtotal — Hard Benefits (Rs Lakh)</t>
  </si>
  <si>
    <t>Risk Mitigation Value (Illustrative — Shown Separately)</t>
  </si>
  <si>
    <t>Risk Mitigation Value (Rs Lakh)</t>
  </si>
  <si>
    <t>Total Benefits Incl. Risk Mitigation (Rs Lakh)</t>
  </si>
  <si>
    <t>ROI SUMMARY DASHBOARD</t>
  </si>
  <si>
    <t>Total Investment (Rs Lakh)</t>
  </si>
  <si>
    <t>Total Benefits — Hard (Rs Lakh)</t>
  </si>
  <si>
    <t>Net Benefit — Hard (Rs Lakh)</t>
  </si>
  <si>
    <t>Cumulative Net Benefit — Hard (Rs Lakh)</t>
  </si>
  <si>
    <t>Net Benefit Incl. Risk Mitigation (Rs Lakh)</t>
  </si>
  <si>
    <t>Cumulative Net Benefit Incl. Risk (Rs Lakh)</t>
  </si>
  <si>
    <t>KEY METRICS SUMMARY</t>
  </si>
  <si>
    <t>Metric</t>
  </si>
  <si>
    <t>Hard Benefits Only</t>
  </si>
  <si>
    <t>Incl. Risk Mitigation</t>
  </si>
  <si>
    <t>5-Year Net Benefit (Rs Lakh)</t>
  </si>
  <si>
    <t>5-Year ROI %</t>
  </si>
  <si>
    <t>Payback Period (Months, approx.)</t>
  </si>
  <si>
    <t>NPV at Discount Rate (Rs Lakh)</t>
  </si>
  <si>
    <t>IRR (%)</t>
  </si>
  <si>
    <t>5-Yr Benefit Composition (Helper — Hard Benefits)</t>
  </si>
  <si>
    <t>CBAM Cost Avoidance</t>
  </si>
  <si>
    <t>Avoided Consultant / Big-4 Fee</t>
  </si>
  <si>
    <t>Staff Time Savings</t>
  </si>
  <si>
    <t>Energy Efficiency Savings</t>
  </si>
  <si>
    <t>SENSITIVITY ANALYSIS</t>
  </si>
  <si>
    <t>A. Scenario Table — Benefit Realisation Multiplier</t>
  </si>
  <si>
    <t>Benefit Multiplier</t>
  </si>
  <si>
    <t>5-Yr Benefits (Rs Lakh)</t>
  </si>
  <si>
    <t>5-Yr Investment (Rs Lakh)</t>
  </si>
  <si>
    <t>5-Yr Net Benefit (Rs Lakh)</t>
  </si>
  <si>
    <t>5-Yr ROI %</t>
  </si>
  <si>
    <t>Approx. Payback (Months)</t>
  </si>
  <si>
    <t>Conservative</t>
  </si>
  <si>
    <t>Base Case</t>
  </si>
  <si>
    <t>Aggressive</t>
  </si>
  <si>
    <t>Payback shown here is a straight-line approximation (5-yr investment ÷ average annual benefit); see 'ROI Summary' for the year-by-year payback calculation.</t>
  </si>
  <si>
    <t>B. 5-Year ROI % Sensitivity Grid — EU Export Share vs. Energy Savings (Static Approximation)</t>
  </si>
  <si>
    <t>EU Export % ↓  /  Energy Savings % →</t>
  </si>
  <si>
    <t>This grid is a simplified STATIC approximation (flat annual benefit × 5, no revenue growth or fee escalation) used purely to show directional sensitivity of 5-Year ROI% to EU export exposure and energy-savings assumptions. The highlighted cell approximates the current base-case inputs. See 'ROI Summary' for the full dynamic year-by-year model.</t>
  </si>
  <si>
    <t>ASSUMPTIONS &amp; SOURCES</t>
  </si>
  <si>
    <t>Assumption</t>
  </si>
  <si>
    <t>Default Value</t>
  </si>
  <si>
    <t>Source / Rationale</t>
  </si>
  <si>
    <t>EU CBAM certificate price</t>
  </si>
  <si>
    <t>€85 / tCO2e</t>
  </si>
  <si>
    <t>Illustrative EU ETS/CBAM allowance price; verify against the live EU ETS price at proposal time before quoting to a client.</t>
  </si>
  <si>
    <t>EUR–INR exchange rate</t>
  </si>
  <si>
    <t>95</t>
  </si>
  <si>
    <t>Illustrative; update to the prevailing spot/forward rate at proposal time.</t>
  </si>
  <si>
    <t>CBAM default-value cost premium</t>
  </si>
  <si>
    <t>30%</t>
  </si>
  <si>
    <t>Source: GF360 market research (Jul 2026) on EU default-value cost inflation applied in the absence of verified primary emissions data — relevant to any CBAM-exposed exporter, not sector-specific.</t>
  </si>
  <si>
    <t>Avoided annual consultant / Big-4 assessment fee</t>
  </si>
  <si>
    <t>Rs 35 Lakh (~US$40–50k)</t>
  </si>
  <si>
    <t>Source: GF360 market research — Big-4 tradition of one-off footprint assessments historically quoted at US$40,000–100,000+ globally across sectors; Indian boutique providers price below this for MSME-scale engagements.</t>
  </si>
  <si>
    <t>Energy efficiency savings ramp (Yr1 / Yr2 / Yr3+)</t>
  </si>
  <si>
    <t>3% / 8% / 12%</t>
  </si>
  <si>
    <t>Illustrative decarbonisation-roadmap benchmark for Indian manufacturing MSMEs; typical realised savings range 8–15% over 2–3 years of a structured efficiency programme — validate per facility energy audit.</t>
  </si>
  <si>
    <t>Embedded emissions intensity</t>
  </si>
  <si>
    <t>45 tCO2e / Rs Cr revenue</t>
  </si>
  <si>
    <t>Illustrative placeholder for a moderately energy-intensive manufacturing profile — varies widely by sector (e.g., higher for steel/cement/metals, lower for electronics/textiles/pharma). Replace with the client's actual Scope 1 &amp; 2 emissions intensity once measured via the GF360 baseline assessment.</t>
  </si>
  <si>
    <t>GF360 tiered pricing (Starter / Growth / Enterprise)</t>
  </si>
  <si>
    <t>See 'Pricing Tiers'</t>
  </si>
  <si>
    <t>Source: GF360 Value-Based Tiered SaaS pricing strategy, aligned to the Indian/APAC bundled software + advisory market pattern documented in GF360 market research, applicable across manufacturing sectors.</t>
  </si>
  <si>
    <t>Automation efficiency gain on manual reporting</t>
  </si>
  <si>
    <t>70%</t>
  </si>
  <si>
    <t>Illustrative — reflects typical reduction in person-days once data collection and reporting are automated on a structured MRV platform; validate against client's current process maturity.</t>
  </si>
  <si>
    <t>Probability-weighted revenue-at-risk without compliance</t>
  </si>
  <si>
    <t>15%</t>
  </si>
  <si>
    <t>Illustrative risk-adjustment factor representing the expected share of EU/OEM-linked revenue exposed if the client cannot substantiate emissions data on request; shown separately from hard cost savings.</t>
  </si>
  <si>
    <t>GF360 risk-mitigation effectiveness</t>
  </si>
  <si>
    <t>80%</t>
  </si>
  <si>
    <t>Illustrative — assumed share of the above revenue-at-risk that is protected once verified MRV data and reporting are in place.</t>
  </si>
  <si>
    <t>Discount rate / WACC</t>
  </si>
  <si>
    <t>10%</t>
  </si>
  <si>
    <t>Illustrative WACC for an Indian mid-market manufacturer; the client should substitute their actual cost of capital.</t>
  </si>
  <si>
    <t>Revenue growth</t>
  </si>
  <si>
    <t>8% p.a.</t>
  </si>
  <si>
    <t>Illustrative; align to the client's own historical growth rate or board-approved plan where available.</t>
  </si>
  <si>
    <t>Disclaimer: This is a modelling template for pre-sales / pitch purposes only. All client-specific figures (energy spend, turnover, export mix, actual embedded emissions) should be validated during discovery and scoping before this is used to support a binding commercial proposal.</t>
  </si>
  <si>
    <t>AUTO ANCILLARY SECTOR — ACTIVITY &amp; PROCESS CATALOGUE</t>
  </si>
  <si>
    <t>All major manufacturing activities available and possible in the Indian auto-component (auto ancillary) sector, with typical energy/material inputs, GHG emission sources, scopes and links to the 'Emission Factors (India)' tab (EF codes). Use this to scope a client's process footprint during discovery and to select the relevant emission factors.</t>
  </si>
  <si>
    <t>Code</t>
  </si>
  <si>
    <t>Activity / Process</t>
  </si>
  <si>
    <t>Description &amp; Typical Components</t>
  </si>
  <si>
    <t>Key Energy &amp; Material Inputs</t>
  </si>
  <si>
    <t>Primary GHG Emission Sources</t>
  </si>
  <si>
    <t>Scope(s)</t>
  </si>
  <si>
    <t>EF Refs</t>
  </si>
  <si>
    <t>Decarbonisation / GF360 Levers</t>
  </si>
  <si>
    <t>SECTOR SEGMENT LIST (feeds the 'Industry / Sector' dropdown on 'Client Inputs')</t>
  </si>
  <si>
    <t>1. FOUNDRY &amp; CASTING</t>
  </si>
  <si>
    <t>FC-01</t>
  </si>
  <si>
    <t>Induction furnace melting (iron / steel)</t>
  </si>
  <si>
    <t>Melting of scrap, pig iron and returns for grey/SG iron and steel castings — housings, brackets, brake drums, hubs, crankcases.</t>
  </si>
  <si>
    <t>Grid electricity (500–800 kWh/t melt); scrap, pig iron, ferroalloys</t>
  </si>
  <si>
    <t>Purchased electricity for melting and holding</t>
  </si>
  <si>
    <t>S2</t>
  </si>
  <si>
    <t>EF-E1</t>
  </si>
  <si>
    <t>Melt scheduling &amp; power factor, lid/insulation upgrades, RE power purchase, yield improvement</t>
  </si>
  <si>
    <t>Auto Ancillary - Castings &amp; Foundry</t>
  </si>
  <si>
    <t>FC-02</t>
  </si>
  <si>
    <t>Cupola furnace melting</t>
  </si>
  <si>
    <t>Coke-fired melting for grey iron castings (older foundries).</t>
  </si>
  <si>
    <t>Foundry coke (~100–140 kg/t melt), limestone</t>
  </si>
  <si>
    <t>On-site coke combustion</t>
  </si>
  <si>
    <t>S1</t>
  </si>
  <si>
    <t>EF-F7</t>
  </si>
  <si>
    <t>Divided-blast cupola, conversion to induction melting, waste-heat recovery</t>
  </si>
  <si>
    <t>Auto Ancillary - Forgings</t>
  </si>
  <si>
    <t>FC-03</t>
  </si>
  <si>
    <t>Aluminium melting &amp; holding</t>
  </si>
  <si>
    <t>Tower/crucible/reverberatory furnaces for Al alloy ingot and scrap — alloy wheels, pistons, cylinder heads, EV housings.</t>
  </si>
  <si>
    <t>FO / NG / LPG or electricity; Al ingot &amp; scrap</t>
  </si>
  <si>
    <t>Fuel combustion (S1) or electricity (S2); dross losses</t>
  </si>
  <si>
    <t>S1, S2</t>
  </si>
  <si>
    <t>EF-F2, EF-F5, EF-F4, EF-E1</t>
  </si>
  <si>
    <t>Efficient tower furnaces, dross reduction, higher scrap (recycled Al) charge, electrification</t>
  </si>
  <si>
    <t>Auto Ancillary - Machined Components</t>
  </si>
  <si>
    <t>FC-04</t>
  </si>
  <si>
    <t>High-pressure die casting (HPDC)</t>
  </si>
  <si>
    <t>Molten Al/Zn injected into steel dies — transmission cases, structural castings, EV motor housings.</t>
  </si>
  <si>
    <t>Electricity (machine, furnace holding); die lube, hydraulic oil</t>
  </si>
  <si>
    <t>Purchased electricity; holding furnace fuel</t>
  </si>
  <si>
    <t>EF-E1, EF-F4</t>
  </si>
  <si>
    <t>Servo-hydraulic/toggle upgrades, holding furnace insulation, OEE improvement</t>
  </si>
  <si>
    <t>Auto Ancillary - Sheet Metal &amp; Stampings</t>
  </si>
  <si>
    <t>FC-05</t>
  </si>
  <si>
    <t>Gravity / low-pressure die casting</t>
  </si>
  <si>
    <t>Permanent-mould casting of Al — cylinder heads, wheels, brackets.</t>
  </si>
  <si>
    <t>Electricity; NG/LPG holding; compressed air</t>
  </si>
  <si>
    <t>Electricity + fuel for holding/ladle preheat</t>
  </si>
  <si>
    <t>EF-E1, EF-F5, EF-F4</t>
  </si>
  <si>
    <t>Ladle preheat control, insulation, scheduling</t>
  </si>
  <si>
    <t>Auto Ancillary - Fasteners &amp; Cold Forged</t>
  </si>
  <si>
    <t>FC-06</t>
  </si>
  <si>
    <t>Sand casting (green sand line)</t>
  </si>
  <si>
    <t>Moulding, pouring and shakeout for iron castings — housings, manifolds, counterweights.</t>
  </si>
  <si>
    <t>Electricity (sand plant, blowers); bentonite, coal dust, new sand</t>
  </si>
  <si>
    <t>Electricity; minor process organics (LOI burn-off)</t>
  </si>
  <si>
    <t>Sand-to-metal ratio optimisation, sand reclamation, VFDs on blowers</t>
  </si>
  <si>
    <t>Auto Ancillary - Heat Treatment (Job Work)</t>
  </si>
  <si>
    <t>FC-07</t>
  </si>
  <si>
    <t>Investment casting (lost wax)</t>
  </si>
  <si>
    <t>Precision steel/SS castings — turbo parts, rocker arms, small precision components.</t>
  </si>
  <si>
    <t>Electricity; LPG/NG for dewax &amp; shell firing; wax, zircon/silica slurry</t>
  </si>
  <si>
    <t>Fuel for burnout &amp; sintering ovens; electricity</t>
  </si>
  <si>
    <t>EF-F4, EF-F5, EF-E1</t>
  </si>
  <si>
    <t>Oven insulation &amp; scheduling, shell recycling</t>
  </si>
  <si>
    <t>Auto Ancillary - Surface Treatment &amp; Plating</t>
  </si>
  <si>
    <t>FC-08</t>
  </si>
  <si>
    <t>Core making (cold box / shell)</t>
  </si>
  <si>
    <t>Resin-bonded sand cores for internal cavities.</t>
  </si>
  <si>
    <t>Electricity; phenolic/furan resins, amine catalyst; LPG (shell)</t>
  </si>
  <si>
    <t>Electricity; process VOC/amine emissions (non-GHG); LPG</t>
  </si>
  <si>
    <t>Inorganic binder systems, core package optimisation</t>
  </si>
  <si>
    <t>Auto Ancillary - Plastic Components</t>
  </si>
  <si>
    <t>FC-09</t>
  </si>
  <si>
    <t>Fettling, grinding &amp; shot blasting</t>
  </si>
  <si>
    <t>Removal of gates/risers, surface cleaning of castings.</t>
  </si>
  <si>
    <t>Electricity (grinders, shot blast machines, dust collection)</t>
  </si>
  <si>
    <t>Purchased electricity</t>
  </si>
  <si>
    <t>High-efficiency motors, blast media management, near-net-shape casting</t>
  </si>
  <si>
    <t>Auto Ancillary - Rubber &amp; Elastomers</t>
  </si>
  <si>
    <t>FC-10</t>
  </si>
  <si>
    <t>Sand reclamation (thermal / mechanical)</t>
  </si>
  <si>
    <t>Recovery of used foundry sand for reuse.</t>
  </si>
  <si>
    <t>Electricity; NG/LPG (thermal reclaim)</t>
  </si>
  <si>
    <t>Fuel combustion; electricity</t>
  </si>
  <si>
    <t>EF-F5, EF-F4, EF-E1</t>
  </si>
  <si>
    <t>Mechanical-first reclaim, waste-heat recovery, reduces S3 new-sand transport</t>
  </si>
  <si>
    <t>Auto Ancillary - Wiring Harness &amp; Electricals</t>
  </si>
  <si>
    <t>2. FORGING</t>
  </si>
  <si>
    <t>Auto Ancillary - Electronics &amp; EV Components</t>
  </si>
  <si>
    <t>FG-01</t>
  </si>
  <si>
    <t>Billet shearing / sawing</t>
  </si>
  <si>
    <t>Cutting steel bars into billets for forging — crankshafts, connecting rods, gears, axle beams.</t>
  </si>
  <si>
    <t>Electricity; steel bar stock</t>
  </si>
  <si>
    <t>Purchased electricity; upstream steel (S3)</t>
  </si>
  <si>
    <t>S2, S3</t>
  </si>
  <si>
    <t>EF-E1, EF-S1</t>
  </si>
  <si>
    <t>Yield optimisation, scrap segregation for recycling</t>
  </si>
  <si>
    <t>Auto Ancillary - Friction &amp; Sintered Parts</t>
  </si>
  <si>
    <t>FG-02</t>
  </si>
  <si>
    <t>Billet heating — fuel-fired furnace</t>
  </si>
  <si>
    <t>Heating billets to 1,100–1,250°C in FO/NG-fired furnaces before hot forging.</t>
  </si>
  <si>
    <t>Furnace oil / natural gas (30–60 litres FO per tonne typical)</t>
  </si>
  <si>
    <t>On-site fuel combustion — LARGEST S1 source in forge shops</t>
  </si>
  <si>
    <t>EF-F2, EF-F5</t>
  </si>
  <si>
    <t>Recuperative burners, NG conversion, furnace pressure control, hot charging</t>
  </si>
  <si>
    <t>Auto Ancillary - Seating, Trim &amp; Interiors</t>
  </si>
  <si>
    <t>FG-03</t>
  </si>
  <si>
    <t>Billet heating — induction</t>
  </si>
  <si>
    <t>Electric induction heating of billets (modern forge lines).</t>
  </si>
  <si>
    <t>Grid electricity (~350–450 kWh/t)</t>
  </si>
  <si>
    <t>Coil matching, RE power, standby-loss control</t>
  </si>
  <si>
    <t>Auto Ancillary - Glass &amp; Glazing</t>
  </si>
  <si>
    <t>FG-04</t>
  </si>
  <si>
    <t>Hot / warm forging (press or hammer)</t>
  </si>
  <si>
    <t>Deformation of heated billets in dies — crankshafts, stub axles, yokes, flanges, gear blanks.</t>
  </si>
  <si>
    <t>Electricity (press drives, compressors); die lube, graphite</t>
  </si>
  <si>
    <t>Servo presses, flash reduction (near-net forging), die-life management</t>
  </si>
  <si>
    <t>Auto Ancillary - Assemblies &amp; Modules (Tier-1)</t>
  </si>
  <si>
    <t>FG-05</t>
  </si>
  <si>
    <t>Cold forging / cold heading</t>
  </si>
  <si>
    <t>Room-temperature forming of fasteners, shafts, pins, spark-plug bodies.</t>
  </si>
  <si>
    <t>Electricity; steel wire/coil; phosphate-soap lube</t>
  </si>
  <si>
    <t>Purchased electricity; pre-treatment chemicals</t>
  </si>
  <si>
    <t>High-speed headers, tool coatings, eliminating downstream machining</t>
  </si>
  <si>
    <t>Auto Ancillary - Multi-Process / Integrated</t>
  </si>
  <si>
    <t>FG-06</t>
  </si>
  <si>
    <t>Ring rolling</t>
  </si>
  <si>
    <t>Seamless rolled rings for bearing races and gears.</t>
  </si>
  <si>
    <t>Electricity; billet heating fuel</t>
  </si>
  <si>
    <t>Fuel (S1) + electricity (S2)</t>
  </si>
  <si>
    <t>EF-F2, EF-F5, EF-E1</t>
  </si>
  <si>
    <t>Near-net rolling, recuperators</t>
  </si>
  <si>
    <t>FG-07</t>
  </si>
  <si>
    <t>Trimming, piercing &amp; coining</t>
  </si>
  <si>
    <t>Removal of forging flash; sizing operations.</t>
  </si>
  <si>
    <t>Electricity</t>
  </si>
  <si>
    <t>Flashless/precision forging to eliminate step</t>
  </si>
  <si>
    <t>3. MACHINING</t>
  </si>
  <si>
    <t>MC-01</t>
  </si>
  <si>
    <t>CNC turning</t>
  </si>
  <si>
    <t>Turned shafts, hubs, bearing components, pulleys, fasteners.</t>
  </si>
  <si>
    <t>Electricity (spindles, hydraulics, coolant pumps); cutting oil/coolant</t>
  </si>
  <si>
    <t>Idle-time shutdown, high-efficiency spindles, optimised cutting parameters, MQL</t>
  </si>
  <si>
    <t>MC-02</t>
  </si>
  <si>
    <t>Milling / machining centres (VMC/HMC)</t>
  </si>
  <si>
    <t>Prismatic machining of housings, brackets, heads, blocks.</t>
  </si>
  <si>
    <t>Electricity; tooling, coolant</t>
  </si>
  <si>
    <t>Fixture/multi-op consolidation, machine monitoring (GF360 IoT), RE power</t>
  </si>
  <si>
    <t>MC-03</t>
  </si>
  <si>
    <t>Drilling, tapping &amp; boring</t>
  </si>
  <si>
    <t>Hole-making and threading operations across components.</t>
  </si>
  <si>
    <t>Combined tooling, process consolidation</t>
  </si>
  <si>
    <t>MC-04</t>
  </si>
  <si>
    <t>Grinding (surface / cylindrical / centreless)</t>
  </si>
  <si>
    <t>Precision finishing of shafts, races, valves, cam/crank journals.</t>
  </si>
  <si>
    <t>Electricity (high specific energy); grinding wheels, coolant</t>
  </si>
  <si>
    <t>Dressing optimisation, superabrasive (CBN) wheels, coolant pump VFDs</t>
  </si>
  <si>
    <t>MC-05</t>
  </si>
  <si>
    <t>Honing / lapping / superfinishing</t>
  </si>
  <si>
    <t>Bore finishing (cylinder liners, con rods), gear tooth finishing.</t>
  </si>
  <si>
    <t>Electricity; honing oil, abrasives</t>
  </si>
  <si>
    <t>Process parameter optimisation</t>
  </si>
  <si>
    <t>MC-06</t>
  </si>
  <si>
    <t>Gear cutting (hobbing / shaping / shaving / grinding)</t>
  </si>
  <si>
    <t>Transmission gears, differential gears, sprockets, steering pinions.</t>
  </si>
  <si>
    <t>Electricity; hobs &amp; cutters, cutting oil</t>
  </si>
  <si>
    <t>Dry/hard hobbing, skiving, tool coatings</t>
  </si>
  <si>
    <t>MC-07</t>
  </si>
  <si>
    <t>Broaching</t>
  </si>
  <si>
    <t>Internal splines, keyways in hubs, gears, yokes.</t>
  </si>
  <si>
    <t>Tooling life management</t>
  </si>
  <si>
    <t>MC-08</t>
  </si>
  <si>
    <t>EDM / wire-cut (tool room)</t>
  </si>
  <si>
    <t>Die and mould making, tooling maintenance.</t>
  </si>
  <si>
    <t>Electricity; dielectric fluid, brass wire</t>
  </si>
  <si>
    <t>Generator efficiency modes</t>
  </si>
  <si>
    <t>MC-09</t>
  </si>
  <si>
    <t>Coolant, chip &amp; oil-mist management</t>
  </si>
  <si>
    <t>Coolant circulation/filtration, chip conveyors, mist extraction.</t>
  </si>
  <si>
    <t>Electricity; coolants &amp; additives (S3); waste oil disposal (S3)</t>
  </si>
  <si>
    <t>Purchased electricity; waste treatment (S3)</t>
  </si>
  <si>
    <t>Centralised coolant systems, chip briquetting (better scrap value &amp; lower transport)</t>
  </si>
  <si>
    <t>4. SHEET METAL, STAMPING &amp; FABRICATION</t>
  </si>
  <si>
    <t>SM-01</t>
  </si>
  <si>
    <t>Coil slitting / decoiling / blanking</t>
  </si>
  <si>
    <t>Preparation of steel/Al coil into blanks — body panels, brackets.</t>
  </si>
  <si>
    <t>Electricity; steel/Al coil (S3, CBAM-relevant input)</t>
  </si>
  <si>
    <t>Purchased electricity; upstream metal (S3)</t>
  </si>
  <si>
    <t>EF-E1, EF-S1, EF-S3</t>
  </si>
  <si>
    <t>Nesting/yield optimisation (directly cuts S3), scrap segregation</t>
  </si>
  <si>
    <t>SM-02</t>
  </si>
  <si>
    <t>Press stamping / deep drawing</t>
  </si>
  <si>
    <t>Mechanical/hydraulic/servo presses — panels, cross members, wheel discs, fuel-tank halves.</t>
  </si>
  <si>
    <t>Electricity (press drives, compressed air); drawing lube</t>
  </si>
  <si>
    <t>Servo press retrofits, die cushion energy recovery, compressed-air leak control</t>
  </si>
  <si>
    <t>SM-03</t>
  </si>
  <si>
    <t>Fine blanking</t>
  </si>
  <si>
    <t>High-precision flat parts — seat recliner plates, gears, levers.</t>
  </si>
  <si>
    <t>Tool life &amp; material utilisation</t>
  </si>
  <si>
    <t>SM-04</t>
  </si>
  <si>
    <t>Roll forming / ERW tube mills</t>
  </si>
  <si>
    <t>Formed sections and welded tubes — door beams, exhaust tubes, chassis members.</t>
  </si>
  <si>
    <t>Electricity (mill drives, HF welder)</t>
  </si>
  <si>
    <t>HF welder efficiency, line speed optimisation</t>
  </si>
  <si>
    <t>SM-05</t>
  </si>
  <si>
    <t>Tube bending &amp; end forming</t>
  </si>
  <si>
    <t>Exhaust systems, fuel/brake lines, chassis and seat tubes.</t>
  </si>
  <si>
    <t>Electricity; mandrel lube</t>
  </si>
  <si>
    <t>CNC benders, right-first-time quality</t>
  </si>
  <si>
    <t>SM-06</t>
  </si>
  <si>
    <t>Laser / plasma / waterjet cutting</t>
  </si>
  <si>
    <t>Profile cutting of sheets and tubes; prototyping and low-volume parts.</t>
  </si>
  <si>
    <t>Electricity; assist gases (N2, O2); plasma gas</t>
  </si>
  <si>
    <t>Purchased electricity; minor process gases</t>
  </si>
  <si>
    <t>Fiber laser upgrades (vs CO2 laser), nesting software</t>
  </si>
  <si>
    <t>SM-07</t>
  </si>
  <si>
    <t>CNC press brake bending</t>
  </si>
  <si>
    <t>Bent brackets, enclosures, battery trays.</t>
  </si>
  <si>
    <t>Electric (servo) press brakes</t>
  </si>
  <si>
    <t>5. JOINING &amp; WELDING</t>
  </si>
  <si>
    <t>JW-01</t>
  </si>
  <si>
    <t>MIG / MAG welding</t>
  </si>
  <si>
    <t>Structural welding of frames, axles, exhausts, seat structures, BIW sub-assemblies.</t>
  </si>
  <si>
    <t>Electricity; CO2 / Ar-CO2 shielding gas; wire</t>
  </si>
  <si>
    <t>Electricity (S2); CO2 shielding gas released (S1); weld wire (S3)</t>
  </si>
  <si>
    <t>EF-E1, EF-R6</t>
  </si>
  <si>
    <t>Inverter power sources, gas-saver kits, weld-length optimisation, robotic welding</t>
  </si>
  <si>
    <t>JW-02</t>
  </si>
  <si>
    <t>TIG welding</t>
  </si>
  <si>
    <t>Precision welding — SS exhaust parts, Al components, fuel rails.</t>
  </si>
  <si>
    <t>Electricity; argon</t>
  </si>
  <si>
    <t>Inverter sources, automation</t>
  </si>
  <si>
    <t>JW-03</t>
  </si>
  <si>
    <t>Resistance spot / seam / projection welding</t>
  </si>
  <si>
    <t>Sheet-metal joining — panels, nuts/studs, fuel tanks, seat frames.</t>
  </si>
  <si>
    <t>Electricity (high peak demand); cooling water</t>
  </si>
  <si>
    <t>MFDC (mid-frequency DC) guns, demand management</t>
  </si>
  <si>
    <t>JW-04</t>
  </si>
  <si>
    <t>Brazing (furnace / induction / flame)</t>
  </si>
  <si>
    <t>Heat exchangers (radiators, condensers, oil coolers), carbide tipping.</t>
  </si>
  <si>
    <t>NG/LPG (flame, CAB furnaces) or electricity (induction); flux, filler</t>
  </si>
  <si>
    <t>Fuel combustion (S1); electricity (S2)</t>
  </si>
  <si>
    <t>CAB furnace insulation &amp; nitrogen management, induction conversion</t>
  </si>
  <si>
    <t>JW-05</t>
  </si>
  <si>
    <t>Soldering (radiators, electricals, electronics)</t>
  </si>
  <si>
    <t>Joining copper/brass cores; PCB wave/selective soldering.</t>
  </si>
  <si>
    <t>Electricity; solder alloys, flux</t>
  </si>
  <si>
    <t>Lead-free reflow profile optimisation</t>
  </si>
  <si>
    <t>JW-06</t>
  </si>
  <si>
    <t>Friction / friction-stir / laser welding</t>
  </si>
  <si>
    <t>Propeller shafts, axle tubes, EV battery trays (Al), gear clusters.</t>
  </si>
  <si>
    <t>Replaces fuel-based processes — inherently efficient; cycle optimisation</t>
  </si>
  <si>
    <t>JW-07</t>
  </si>
  <si>
    <t>Riveting, clinching &amp; adhesive bonding</t>
  </si>
  <si>
    <t>Mechanical joining and structural adhesives — mixed-material assemblies.</t>
  </si>
  <si>
    <t>Electricity (minor); adhesives, rivets (S3)</t>
  </si>
  <si>
    <t>Minor electricity; upstream consumables (S3)</t>
  </si>
  <si>
    <t>Low-cure-temperature adhesives</t>
  </si>
  <si>
    <t>6. HEAT TREATMENT</t>
  </si>
  <si>
    <t>HT-01</t>
  </si>
  <si>
    <t>Carburising / carbonitriding</t>
  </si>
  <si>
    <t>Case hardening of gears, shafts, bearings in sealed-quench/continuous furnaces with endothermic atmosphere.</t>
  </si>
  <si>
    <t>NG/LPG (furnace + endo-gas generator from LPG/methanol); electricity</t>
  </si>
  <si>
    <t>Fuel combustion + cracked endo gas (S1) — MAJOR hotspot; electricity (S2)</t>
  </si>
  <si>
    <t>Low-pressure (vacuum) carburising, endo-gas generator tuning, furnace insulation, waste-heat recovery</t>
  </si>
  <si>
    <t>HT-02</t>
  </si>
  <si>
    <t>Hardening, quenching &amp; tempering</t>
  </si>
  <si>
    <t>Through-hardening of fasteners, springs, axle parts; oil/polymer/salt quench.</t>
  </si>
  <si>
    <t>NG/LPG/FO or electricity; quench oil</t>
  </si>
  <si>
    <t>Fuel (S1) / electricity (S2); quench-oil top-up (S3)</t>
  </si>
  <si>
    <t>EF-F5, EF-F4, EF-F2, EF-E1</t>
  </si>
  <si>
    <t>Continuous furnace loading optimisation, electric conversion, quench-oil life extension</t>
  </si>
  <si>
    <t>HT-03</t>
  </si>
  <si>
    <t>Annealing / normalising / stress relieving</t>
  </si>
  <si>
    <t>Softening &amp; microstructure control of forgings, castings, cold-formed parts.</t>
  </si>
  <si>
    <t>NG/LPG/FO or electricity</t>
  </si>
  <si>
    <t>Fuel (S1) / electricity (S2)</t>
  </si>
  <si>
    <t>Batch consolidation, insulation upgrades, scheduling</t>
  </si>
  <si>
    <t>HT-04</t>
  </si>
  <si>
    <t>Induction hardening &amp; tempering</t>
  </si>
  <si>
    <t>Localised hardening — crank journals, CV joints, gear teeth, axle shafts.</t>
  </si>
  <si>
    <t>Grid electricity (high power, short cycle)</t>
  </si>
  <si>
    <t>Energy-per-piece monitoring (GF360 IoT), coil design, RE power</t>
  </si>
  <si>
    <t>HT-05</t>
  </si>
  <si>
    <t>Nitriding / gas nitrocarburising</t>
  </si>
  <si>
    <t>Surface hardening of crankshafts, valves, dies using NH3-based atmospheres.</t>
  </si>
  <si>
    <t>Electricity; ammonia, N2, CO2 process gases</t>
  </si>
  <si>
    <t>Electricity (S2); N2O traces possible (minor); process gas (S3)</t>
  </si>
  <si>
    <t>Plasma (ion) nitriding conversion, atmosphere control</t>
  </si>
  <si>
    <t>HT-06</t>
  </si>
  <si>
    <t>Solution treatment &amp; ageing (aluminium)</t>
  </si>
  <si>
    <t>T6/T7 treatment of Al castings — heads, wheels, suspension parts.</t>
  </si>
  <si>
    <t>Electricity or NG furnaces</t>
  </si>
  <si>
    <t>EF-F5, EF-E1</t>
  </si>
  <si>
    <t>Furnace load density, air-quench where feasible</t>
  </si>
  <si>
    <t>HT-07</t>
  </si>
  <si>
    <t>Shot peening</t>
  </si>
  <si>
    <t>Fatigue-life enhancement of springs, gears, con rods.</t>
  </si>
  <si>
    <t>Electricity; shot media</t>
  </si>
  <si>
    <t>Media management, process control</t>
  </si>
  <si>
    <t>7. SURFACE TREATMENT &amp; COATING</t>
  </si>
  <si>
    <t>ST-01</t>
  </si>
  <si>
    <t>Degreasing &amp; pre-treatment</t>
  </si>
  <si>
    <t>Alkaline cleaning, phosphating / zirconium conversion coating before paint/plating.</t>
  </si>
  <si>
    <t>Electricity; steam or electric bath heating; chemicals; water</t>
  </si>
  <si>
    <t>Bath-heating fuel (S1) / electricity (S2); chemicals &amp; water (S3); effluent to ETP</t>
  </si>
  <si>
    <t>S1, S2, S3</t>
  </si>
  <si>
    <t>Low-temperature chemistries, bath insulation &amp; covers, counter-flow rinsing, heat pumps</t>
  </si>
  <si>
    <t>ST-02</t>
  </si>
  <si>
    <t>Pickling (acid)</t>
  </si>
  <si>
    <t>Scale removal from forgings/wires before drawing or plating.</t>
  </si>
  <si>
    <t>Electricity; acid (HCl/H2SO4); neutralisation chemicals</t>
  </si>
  <si>
    <t>Electricity; chemical supply chain (S3); effluent</t>
  </si>
  <si>
    <t>Acid recovery/regeneration, mechanical descaling</t>
  </si>
  <si>
    <t>ST-03</t>
  </si>
  <si>
    <t>Electroplating (Zn, Zn-Ni, hard Cr, Ni)</t>
  </si>
  <si>
    <t>Corrosion/wear coating of fasteners, brake parts, shafts, trim.</t>
  </si>
  <si>
    <t>Electricity (rectifiers, bath heating); anodes &amp; chemistry; water</t>
  </si>
  <si>
    <t>Purchased electricity — rectifiers &amp; heating; zinc/nickel anodes (S3)</t>
  </si>
  <si>
    <t>EF-E1, EF-S6</t>
  </si>
  <si>
    <t>High-efficiency rectifiers (IGBT), bath temperature control, trivalent chemistry, drag-out reduction</t>
  </si>
  <si>
    <t>ST-04</t>
  </si>
  <si>
    <t>Anodising (aluminium)</t>
  </si>
  <si>
    <t>Decorative/hard anodising of Al trim and pistons.</t>
  </si>
  <si>
    <t>Electricity (rectifiers, chillers); acid electrolyte</t>
  </si>
  <si>
    <t>Rectifier efficiency, heat recovery from electrolyte cooling</t>
  </si>
  <si>
    <t>ST-05</t>
  </si>
  <si>
    <t>CED / e-coating (cathodic electro-deposition)</t>
  </si>
  <si>
    <t>Primer coat for BIW parts, chassis components, wheels.</t>
  </si>
  <si>
    <t>Electricity (bath, rectifier, RO/DM water); NG/LPG curing ovens</t>
  </si>
  <si>
    <t>Curing-oven fuel (S1) — hotspot; electricity (S2)</t>
  </si>
  <si>
    <t>Oven insulation &amp; air-seal, RTO heat recovery, bake-window optimisation</t>
  </si>
  <si>
    <t>ST-06</t>
  </si>
  <si>
    <t>Powder coating</t>
  </si>
  <si>
    <t>Decorative/protective coating of wheels, frames, small parts.</t>
  </si>
  <si>
    <t>Electricity (booth, cure oven) or NG/LPG ovens; powder</t>
  </si>
  <si>
    <t>Cure-oven fuel (S1) / electricity (S2); powder overspray (S3)</t>
  </si>
  <si>
    <t>Low-cure powders, powder reclaim, IR/hybrid ovens</t>
  </si>
  <si>
    <t>ST-07</t>
  </si>
  <si>
    <t>Liquid painting line</t>
  </si>
  <si>
    <t>Topcoat/clear coat for plastic &amp; metal parts — bumpers, mirrors, tanks.</t>
  </si>
  <si>
    <t>Electricity (booths, ASU); NG/LPG bake ovens; paints/solvents</t>
  </si>
  <si>
    <t>Oven &amp; RTO fuel (S1); electricity (S2); solvent VOCs (non-GHG but regulated)</t>
  </si>
  <si>
    <t>High-solids/waterborne paints, booth air recirculation, oven heat recovery</t>
  </si>
  <si>
    <t>ST-08</t>
  </si>
  <si>
    <t>Hot-dip galvanising</t>
  </si>
  <si>
    <t>Zinc coating of chassis/structural parts, fasteners (after-fabrication).</t>
  </si>
  <si>
    <t>NG/FO-fired zinc kettle; zinc metal; flux</t>
  </si>
  <si>
    <t>Kettle fuel combustion (S1) — hotspot; zinc (S3)</t>
  </si>
  <si>
    <t>S1, S3</t>
  </si>
  <si>
    <t>EF-F5, EF-F2, EF-S6</t>
  </si>
  <si>
    <t>Kettle insulation, dross/ash minimisation, zinc-thickness control</t>
  </si>
  <si>
    <t>ST-09</t>
  </si>
  <si>
    <t>PVD / CVD / DLC coating</t>
  </si>
  <si>
    <t>Thin-film coating of piston rings, tappets, tooling.</t>
  </si>
  <si>
    <t>Electricity (vacuum systems, power supplies); process gases</t>
  </si>
  <si>
    <t>Batch loading optimisation</t>
  </si>
  <si>
    <t>ST-10</t>
  </si>
  <si>
    <t>Passivation, sealing &amp; rust preventives</t>
  </si>
  <si>
    <t>Final corrosion protection and packaging oils.</t>
  </si>
  <si>
    <t>Electricity (minor); chemicals &amp; oils (S3)</t>
  </si>
  <si>
    <t>Minor electricity; consumables (S3)</t>
  </si>
  <si>
    <t>Water-based RP oils, dosing control</t>
  </si>
  <si>
    <t>8. PLASTICS &amp; POLYMER PROCESSING</t>
  </si>
  <si>
    <t>PL-01</t>
  </si>
  <si>
    <t>Resin drying &amp; material handling</t>
  </si>
  <si>
    <t>Drying of PA/ABS/PC granules before moulding.</t>
  </si>
  <si>
    <t>Electricity (dehumidifying dryers, conveying)</t>
  </si>
  <si>
    <t>Dryer scheduling, dew-point control, central material handling</t>
  </si>
  <si>
    <t>PL-02</t>
  </si>
  <si>
    <t>Injection moulding</t>
  </si>
  <si>
    <t>Interior/exterior trims, dashboards, fans, tanks, connectors, lamp housings.</t>
  </si>
  <si>
    <t>Electricity (hydraulic 1.0–1.5 kWh/kg; all-electric 0.4–0.7 kWh/kg); polymer resins (S3)</t>
  </si>
  <si>
    <t>Purchased electricity — machines, chillers, dryers; resin (S3)</t>
  </si>
  <si>
    <t>EF-E1, EF-S7</t>
  </si>
  <si>
    <t>All-electric/hybrid machines, barrel insulation jackets, regrind usage, chiller optimisation</t>
  </si>
  <si>
    <t>PL-03</t>
  </si>
  <si>
    <t>Blow moulding</t>
  </si>
  <si>
    <t>Fuel tanks (HDPE), air ducts, washer bottles.</t>
  </si>
  <si>
    <t>Electricity; HDPE resin</t>
  </si>
  <si>
    <t>Purchased electricity; resin (S3)</t>
  </si>
  <si>
    <t>Accumulator-head efficiency, lightweighting</t>
  </si>
  <si>
    <t>PL-04</t>
  </si>
  <si>
    <t>Extrusion (profiles &amp; tubing)</t>
  </si>
  <si>
    <t>Weather strips, fuel/brake tubing, cable conduits.</t>
  </si>
  <si>
    <t>Electricity; PVC/TPE/PA resins</t>
  </si>
  <si>
    <t>Direct-drive extruders, die optimisation</t>
  </si>
  <si>
    <t>PL-05</t>
  </si>
  <si>
    <t>Thermoforming / vacuum forming</t>
  </si>
  <si>
    <t>Trunk liners, door trims, underbody covers.</t>
  </si>
  <si>
    <t>Electricity (IR heaters, vacuum)</t>
  </si>
  <si>
    <t>Zoned IR heating, sheet-gauge optimisation</t>
  </si>
  <si>
    <t>PL-06</t>
  </si>
  <si>
    <t>PU foam moulding</t>
  </si>
  <si>
    <t>Seat cushions, NVH foams, headrests, steering-wheel skins.</t>
  </si>
  <si>
    <t>Electricity; polyol/isocyanate (S3); mould heating (electric/water)</t>
  </si>
  <si>
    <t>Electricity (S2); chemical precursors (S3); blowing agents (check GWP)</t>
  </si>
  <si>
    <t>EF-E1, EF-R1</t>
  </si>
  <si>
    <t>Water-blown (zero-GWP) formulations, mould-carrier efficiency, bio-polyols</t>
  </si>
  <si>
    <t>PL-07</t>
  </si>
  <si>
    <t>Painting / metallising of plastic parts</t>
  </si>
  <si>
    <t>Decorative finishes on grilles, logos, wheel covers.</t>
  </si>
  <si>
    <t>Electricity (booths, vacuum metallising); paints</t>
  </si>
  <si>
    <t>Electricity; oven fuel if fired (S1); VOCs</t>
  </si>
  <si>
    <t>UV-cure coatings, film/IMD alternatives</t>
  </si>
  <si>
    <t>PL-08</t>
  </si>
  <si>
    <t>Ultrasonic / vibration / hot-plate welding</t>
  </si>
  <si>
    <t>Joining of lamps, tanks, air-intake manifolds.</t>
  </si>
  <si>
    <t>Servo-driven weld heads</t>
  </si>
  <si>
    <t>9. RUBBER &amp; ELASTOMERS</t>
  </si>
  <si>
    <t>RB-01</t>
  </si>
  <si>
    <t>Rubber mixing / compounding</t>
  </si>
  <si>
    <t>Banbury/kneader + mill mixing of polymer, carbon black, oils — for all rubber parts.</t>
  </si>
  <si>
    <t>Electricity (very energy-intensive); polymers, carbon black (high-S3)</t>
  </si>
  <si>
    <t>Purchased electricity — mixing drives &amp; cooling; carbon black (S3)</t>
  </si>
  <si>
    <t>EF-E1, EF-S8</t>
  </si>
  <si>
    <t>Upside-down mixing, temperature control, sourcing low-carbon carbon black</t>
  </si>
  <si>
    <t>RB-02</t>
  </si>
  <si>
    <t>Calendering &amp; extrusion (rubber)</t>
  </si>
  <si>
    <t>Sheeting, profiles, hose tubes, tread/preforms.</t>
  </si>
  <si>
    <t>Electricity; steam (boiler)</t>
  </si>
  <si>
    <t>Electricity (S2); boiler fuel (S1)</t>
  </si>
  <si>
    <t>EF-E1, EF-F2, EF-F5</t>
  </si>
  <si>
    <t>Extruder drive efficiency, steam-trap management</t>
  </si>
  <si>
    <t>RB-03</t>
  </si>
  <si>
    <t>Moulding (compression / transfer / injection)</t>
  </si>
  <si>
    <t>Engine mounts, bushes, seals, gaskets, boots, grommets.</t>
  </si>
  <si>
    <t>Electricity (press heating platens) or steam</t>
  </si>
  <si>
    <t>Electricity (S2) / boiler fuel (S1)</t>
  </si>
  <si>
    <t>EF-E1, EF-F2</t>
  </si>
  <si>
    <t>Electric platen heating with insulation, cure-time optimisation (cold runner)</t>
  </si>
  <si>
    <t>RB-04</t>
  </si>
  <si>
    <t>Vulcanisation / curing (autoclave, salt bath, ovens)</t>
  </si>
  <si>
    <t>Curing of hoses, weather strips, belts.</t>
  </si>
  <si>
    <t>Steam from FO/briquette boilers; electricity; N2</t>
  </si>
  <si>
    <t>Boiler fuel combustion (S1) — hotspot; electricity (S2)</t>
  </si>
  <si>
    <t>EF-F2, EF-F8, EF-E1</t>
  </si>
  <si>
    <t>Biomass-briquette boilers (biogenic), condensate recovery, microwave/UHF curing</t>
  </si>
  <si>
    <t>RB-05</t>
  </si>
  <si>
    <t>Rubber-to-metal bonding</t>
  </si>
  <si>
    <t>Bonded anti-vibration parts — mounts, bushes; includes metal prep &amp; adhesives.</t>
  </si>
  <si>
    <t>Electricity; phosphating; bonding agents</t>
  </si>
  <si>
    <t>Electricity; chemical inputs (S3)</t>
  </si>
  <si>
    <t>Adhesive dosing control, integrated pre-treatment</t>
  </si>
  <si>
    <t>RB-06</t>
  </si>
  <si>
    <t>Hose braiding &amp; assembly</t>
  </si>
  <si>
    <t>Braided fuel/brake/coolant hoses with fittings.</t>
  </si>
  <si>
    <t>Machine efficiency</t>
  </si>
  <si>
    <t>10. ELECTRICAL, ELECTRONICS &amp; EV COMPONENTS</t>
  </si>
  <si>
    <t>EE-01</t>
  </si>
  <si>
    <t>Wiring harness manufacture</t>
  </si>
  <si>
    <t>Wire cutting, crimping, taping, board assembly — full vehicle harnesses.</t>
  </si>
  <si>
    <t>Electricity (low intensity, labour-led); copper wire, PVC (high-S3)</t>
  </si>
  <si>
    <t>Purchased electricity; copper &amp; PVC upstream (S3 dominant)</t>
  </si>
  <si>
    <t>EF-E1, EF-S5</t>
  </si>
  <si>
    <t>LED lighting &amp; HVAC efficiency (labour halls), copper scrap recovery, supplier engagement on Cu</t>
  </si>
  <si>
    <t>EE-02</t>
  </si>
  <si>
    <t>PCB assembly (SMT + wave/selective solder)</t>
  </si>
  <si>
    <t>ECUs, sensors, clusters, BMS boards, chargers.</t>
  </si>
  <si>
    <t>Electricity (reflow ovens, AOI, HVAC/cleanroom); PCBs &amp; components (S3)</t>
  </si>
  <si>
    <t>Purchased electricity; electronics upstream (S3 dominant)</t>
  </si>
  <si>
    <t>Reflow-oven N2 &amp; energy optimisation, HVAC setpoint control</t>
  </si>
  <si>
    <t>EE-03</t>
  </si>
  <si>
    <t>Motor winding &amp; varnishing</t>
  </si>
  <si>
    <t>Starter motors, alternators, wiper/window motors, EV traction motors.</t>
  </si>
  <si>
    <t>Electricity (winding, varnish bake ovens); copper wire, e-steel (S3)</t>
  </si>
  <si>
    <t>Electricity (S2); varnish-oven fuel if fired (S1); Cu &amp; electrical steel (S3)</t>
  </si>
  <si>
    <t>EF-E1, EF-S5, EF-S1</t>
  </si>
  <si>
    <t>Trickle-impregnation (less varnish energy), high-fill winding, e-steel scrap control</t>
  </si>
  <si>
    <t>EE-04</t>
  </si>
  <si>
    <t>EV battery module &amp; pack assembly</t>
  </si>
  <si>
    <t>Cell testing, module stacking, laser welding, BMS integration, end-of-line test.</t>
  </si>
  <si>
    <t>Electricity (dry room, laser welders, cyclers/testers); cells (very high S3)</t>
  </si>
  <si>
    <t>Purchased electricity — dry-room HVAC dominant; cell upstream (S3 dominant)</t>
  </si>
  <si>
    <t>Dry-room dehumidification efficiency, regenerative cell cyclers, low-carbon cell sourcing</t>
  </si>
  <si>
    <t>EE-05</t>
  </si>
  <si>
    <t>Sensor / actuator / ECU assembly &amp; calibration</t>
  </si>
  <si>
    <t>ABS/airbag sensors, throttle bodies, actuators, controllers.</t>
  </si>
  <si>
    <t>Electricity (assembly, environmental test chambers)</t>
  </si>
  <si>
    <t>Test-chamber scheduling &amp; insulation</t>
  </si>
  <si>
    <t>EE-06</t>
  </si>
  <si>
    <t>Automotive lighting assembly</t>
  </si>
  <si>
    <t>Head/tail lamps, LED modules — moulding, metallising, assembly, photometry.</t>
  </si>
  <si>
    <t>Electricity (metallising vacuum, photometric test)</t>
  </si>
  <si>
    <t>Vacuum-system efficiency, LED photometric test time reduction</t>
  </si>
  <si>
    <t>EE-07</t>
  </si>
  <si>
    <t>Magnet &amp; rotor assembly (EV)</t>
  </si>
  <si>
    <t>Magnet insertion, rotor balancing for traction motors.</t>
  </si>
  <si>
    <t>Electricity; NdFeB magnets (high-S3)</t>
  </si>
  <si>
    <t>Electricity; rare-earth magnet upstream (S3)</t>
  </si>
  <si>
    <t>Magnet recycling programmes, supplier data via GF360 portal</t>
  </si>
  <si>
    <t>11. FRICTION, SINTERED &amp; COMPOSITE PARTS</t>
  </si>
  <si>
    <t>FS-01</t>
  </si>
  <si>
    <t>Powder metallurgy — pressing &amp; sintering</t>
  </si>
  <si>
    <t>Sintered gears, sprockets, bushes, VVT parts; belt/mesh furnaces with endo/N2-H2 atmosphere.</t>
  </si>
  <si>
    <t>Electricity + NG/LPG sintering furnaces (1,100–1,150°C); metal powders (S3)</t>
  </si>
  <si>
    <t>Furnace fuel &amp; cracked atmosphere (S1); electricity (S2) — hotspot</t>
  </si>
  <si>
    <t>Furnace muffle insulation, atmosphere flow optimisation, warm compaction</t>
  </si>
  <si>
    <t>FS-02</t>
  </si>
  <si>
    <t>Brake pad / lining manufacture</t>
  </si>
  <si>
    <t>Mixing, hot pressing, curing, scorching, grinding of friction material.</t>
  </si>
  <si>
    <t>Electricity (hot presses, curing ovens, scorching); resins, fibres (S3)</t>
  </si>
  <si>
    <t>Electricity (S2); oven fuel if fired (S1); phenolic resin (S3)</t>
  </si>
  <si>
    <t>Press platen insulation, cure-cycle optimisation, Cu-free formulations</t>
  </si>
  <si>
    <t>FS-03</t>
  </si>
  <si>
    <t>Clutch facing &amp; disc manufacture</t>
  </si>
  <si>
    <t>Winding/moulding, curing, machining of clutch facings and discs.</t>
  </si>
  <si>
    <t>Electricity; resin curing ovens</t>
  </si>
  <si>
    <t>Electricity (S2); oven fuel (S1)</t>
  </si>
  <si>
    <t>Oven batch optimisation</t>
  </si>
  <si>
    <t>FS-04</t>
  </si>
  <si>
    <t>Composite moulding (SMC / GMT / CFRP)</t>
  </si>
  <si>
    <t>Lightweight panels, battery covers, leaf springs, underbody shields.</t>
  </si>
  <si>
    <t>Electricity (heated presses, ovens); resin &amp; glass/carbon fibre (S3)</t>
  </si>
  <si>
    <t>Electricity (S2); fibre &amp; resin upstream (S3)</t>
  </si>
  <si>
    <t>Fast-cure resins, press heat recovery, recycled fibre</t>
  </si>
  <si>
    <t>12. GLASS, SEATING &amp; INTERIOR TRIM</t>
  </si>
  <si>
    <t>GT-01</t>
  </si>
  <si>
    <t>Auto glass processing</t>
  </si>
  <si>
    <t>Cutting, tempering (roller-hearth furnace), bending, lamination of windshields/windows.</t>
  </si>
  <si>
    <t>Electricity + NG (tempering/bending furnaces); float glass (S3)</t>
  </si>
  <si>
    <t>Furnace fuel (S1) / electricity (S2) — hotspot; float glass upstream (S3)</t>
  </si>
  <si>
    <t>EF-F5, EF-E1, EF-S10</t>
  </si>
  <si>
    <t>Furnace convection upgrades, load optimisation, glass cullet recycling</t>
  </si>
  <si>
    <t>GT-02</t>
  </si>
  <si>
    <t>Seat manufacture</t>
  </si>
  <si>
    <t>Frame welding, PU foam pads, trim covers, assembly to complete seats.</t>
  </si>
  <si>
    <t>Electricity; PU chemicals, fabrics/leather, steel frames (S3)</t>
  </si>
  <si>
    <t>Electricity (S2); upstream materials (S3 dominant)</t>
  </si>
  <si>
    <t>Foam yield, frame lightweighting, fabric offcut recycling</t>
  </si>
  <si>
    <t>GT-03</t>
  </si>
  <si>
    <t>Interior trim &amp; dashboard manufacture</t>
  </si>
  <si>
    <t>Injection moulding, skin forming, IP assembly, door panels, consoles.</t>
  </si>
  <si>
    <t>Electricity; polymers, foils (S3)</t>
  </si>
  <si>
    <t>Electricity (S2); polymer upstream (S3)</t>
  </si>
  <si>
    <t>Slush-moulding energy control, recycled-content polymers</t>
  </si>
  <si>
    <t>GT-04</t>
  </si>
  <si>
    <t>Textile / leather cutting &amp; stitching</t>
  </si>
  <si>
    <t>Seat covers, headliners, carpets, sun visors.</t>
  </si>
  <si>
    <t>Electricity (low intensity, labour-led)</t>
  </si>
  <si>
    <t>Automated nesting/cutting (material yield → S3)</t>
  </si>
  <si>
    <t>13. ASSEMBLY &amp; TESTING</t>
  </si>
  <si>
    <t>AT-01</t>
  </si>
  <si>
    <t>Sub-assembly &amp; module assembly lines</t>
  </si>
  <si>
    <t>Pumps, brakes, steering, axles, cockpit &amp; door modules for Tier-1 supply.</t>
  </si>
  <si>
    <t>Electricity (conveyors, nutrunners, presses, lighting, HVAC)</t>
  </si>
  <si>
    <t>Line-stop power-down logic, DC nutrunner efficiency, LED + HVAC controls</t>
  </si>
  <si>
    <t>AT-02</t>
  </si>
  <si>
    <t>Leak &amp; pressure testing</t>
  </si>
  <si>
    <t>Air-decay/helium testing of castings, tanks, radiators, AC parts.</t>
  </si>
  <si>
    <t>Electricity, compressed air; helium/refrigerant charge (fugitives)</t>
  </si>
  <si>
    <t>Electricity (S2); refrigerant/tracer-gas leaks (S1)</t>
  </si>
  <si>
    <t>Compressed-air leak audits, helium recovery, charge-loss monitoring</t>
  </si>
  <si>
    <t>AT-03</t>
  </si>
  <si>
    <t>End-of-line functional &amp; dynamometer testing</t>
  </si>
  <si>
    <t>Motor/engine/pump/transmission run-in and performance test; fuel-fired engine test beds.</t>
  </si>
  <si>
    <t>Electricity; test fuel (petrol/diesel) on engine dynos</t>
  </si>
  <si>
    <t>Test-fuel combustion (S1); electricity (S2)</t>
  </si>
  <si>
    <t>EF-M1, EF-M2, EF-E1</t>
  </si>
  <si>
    <t>Regenerative (AC) dynos returning power to grid, cold-test substitution</t>
  </si>
  <si>
    <t>AT-04</t>
  </si>
  <si>
    <t>Metrology &amp; inspection (CMM, vision)</t>
  </si>
  <si>
    <t>Dimensional inspection labs, in-line vision systems.</t>
  </si>
  <si>
    <t>Electricity (incl. lab HVAC)</t>
  </si>
  <si>
    <t>Lab HVAC scheduling</t>
  </si>
  <si>
    <t>AT-05</t>
  </si>
  <si>
    <t>Torque &amp; fastening systems</t>
  </si>
  <si>
    <t>Automated tightening stations with data traceability.</t>
  </si>
  <si>
    <t>DC tools vs pneumatic (large compressed-air saving)</t>
  </si>
  <si>
    <t>14. UTILITIES &amp; PLANT SUPPORT (CROSS-CUTTING)</t>
  </si>
  <si>
    <t>UT-01</t>
  </si>
  <si>
    <t>Compressed air systems</t>
  </si>
  <si>
    <t>Screw/centrifugal compressors serving pneumatic tools, presses, blow-off — typically 10–25% of plant electricity.</t>
  </si>
  <si>
    <t>Grid electricity</t>
  </si>
  <si>
    <t>Purchased electricity — perennial hotspot; leaks waste 20–40%</t>
  </si>
  <si>
    <t>Leak detection &amp; repair (GF360 IoT), pressure-band reduction, VSD compressors, nozzle upgrades</t>
  </si>
  <si>
    <t>UT-02</t>
  </si>
  <si>
    <t>Boilers / thermic fluid heaters</t>
  </si>
  <si>
    <t>Steam &amp; hot oil for curing, phosphating, canteens.</t>
  </si>
  <si>
    <t>FO / NG / LPG / biomass briquettes</t>
  </si>
  <si>
    <t>Fuel combustion (S1)</t>
  </si>
  <si>
    <t>EF-F2, EF-F5, EF-F4, EF-F8</t>
  </si>
  <si>
    <t>Biomass conversion, condensate &amp; blowdown heat recovery, O2 trim</t>
  </si>
  <si>
    <t>UT-03</t>
  </si>
  <si>
    <t>Diesel generator (DG) sets</t>
  </si>
  <si>
    <t>Backup / peak power.</t>
  </si>
  <si>
    <t>HSD (diesel)</t>
  </si>
  <si>
    <t>Diesel combustion (S1)</t>
  </si>
  <si>
    <t>EF-F1</t>
  </si>
  <si>
    <t>Grid reliability contracts, battery storage + solar, DG loading optimisation</t>
  </si>
  <si>
    <t>UT-04</t>
  </si>
  <si>
    <t>Chillers, cooling towers &amp; HVAC</t>
  </si>
  <si>
    <t>Process cooling (moulding, induction, welding) and comfort air conditioning.</t>
  </si>
  <si>
    <t>Electricity; refrigerant top-ups (fugitive)</t>
  </si>
  <si>
    <t>Electricity (S2); refrigerant leakage (S1 — high GWP)</t>
  </si>
  <si>
    <t>EF-E1, EF-R1, EF-R2, EF-R3</t>
  </si>
  <si>
    <t>Chiller COP monitoring, low-GWP refrigerants (R-32/R-513A), free cooling</t>
  </si>
  <si>
    <t>UT-05</t>
  </si>
  <si>
    <t>Effluent &amp; sewage treatment (ETP / STP / ZLD)</t>
  </si>
  <si>
    <t>Treatment of plating/phosphating/paint effluents; MEE evaporators for ZLD.</t>
  </si>
  <si>
    <t>Electricity (aeration, MEE evaporators); chemicals</t>
  </si>
  <si>
    <t>Electricity (S2) — MEE/ZLD is energy-intensive; sludge disposal (S3); minor CH4</t>
  </si>
  <si>
    <t>MVR evaporators, aeration DO control, water minimisation upstream</t>
  </si>
  <si>
    <t>UT-06</t>
  </si>
  <si>
    <t>Material handling (forklifts, tow trucks, cranes)</t>
  </si>
  <si>
    <t>Internal logistics across stores and shops.</t>
  </si>
  <si>
    <t>Diesel / LPG / battery-electric</t>
  </si>
  <si>
    <t>Fuel combustion (S1) or electricity (S2)</t>
  </si>
  <si>
    <t>EF-M1, EF-M4, EF-E1</t>
  </si>
  <si>
    <t>Electric forklift conversion, milk-run routing</t>
  </si>
  <si>
    <t>UT-07</t>
  </si>
  <si>
    <t>Lighting, office &amp; canteen loads</t>
  </si>
  <si>
    <t>Shop and office lighting, IT, kitchens (LPG).</t>
  </si>
  <si>
    <t>Electricity; LPG (canteen)</t>
  </si>
  <si>
    <t>Electricity (S2); LPG (S1)</t>
  </si>
  <si>
    <t>LED retrofit, daylighting, occupancy sensors, induction cooking</t>
  </si>
  <si>
    <t>UT-08</t>
  </si>
  <si>
    <t>On-site renewable generation (solar rooftop / open access)</t>
  </si>
  <si>
    <t>Solar PV on rooftops or via open-access/group-captive PPAs — REDUCES Scope 2.</t>
  </si>
  <si>
    <t>Solar irradiation (no fuel)</t>
  </si>
  <si>
    <t>Displaces grid electricity — negative line in inventory (location vs market-based)</t>
  </si>
  <si>
    <t>S2 (avoided)</t>
  </si>
  <si>
    <t>EF-E3, EF-E1</t>
  </si>
  <si>
    <t>Rooftop solar (typically 15–30% of load), open-access RE, RECs / green tariffs, I-REC registration</t>
  </si>
  <si>
    <t>15. VALUE CHAIN / SCOPE 3 ACTIVITIES</t>
  </si>
  <si>
    <t>VC-01</t>
  </si>
  <si>
    <t>Purchased raw materials</t>
  </si>
  <si>
    <t>Steel, iron, aluminium, copper, zinc, polymers, rubber — usually the LARGEST share of an auto-ancillary product footprint and the key CBAM lever.</t>
  </si>
  <si>
    <t>Upstream mining, smelting &amp; refining</t>
  </si>
  <si>
    <t>Embodied (cradle-to-gate) emissions of inputs — S3 Category 1</t>
  </si>
  <si>
    <t>S3</t>
  </si>
  <si>
    <t>EF-S1 to EF-S10</t>
  </si>
  <si>
    <t>Supplier-specific EFs via GF360 supplier portal, recycled content, lightweighting, CBAM-verified steel/Al</t>
  </si>
  <si>
    <t>VC-02</t>
  </si>
  <si>
    <t>Inbound &amp; outbound logistics</t>
  </si>
  <si>
    <t>Road/rail/sea/air movement of materials and finished components (incl. exports to EU OEMs).</t>
  </si>
  <si>
    <t>Transport fuels (third-party)</t>
  </si>
  <si>
    <t>Freight combustion — S3 Categories 4 &amp; 9</t>
  </si>
  <si>
    <t>EF-T1 to EF-T5</t>
  </si>
  <si>
    <t>Rail/coastal modal shift, load-factor optimisation, consolidated milk runs, CNG/LNG/EV fleets</t>
  </si>
  <si>
    <t>VC-03</t>
  </si>
  <si>
    <t>Packaging</t>
  </si>
  <si>
    <t>Wooden pallets/crates, corrugated boxes, plastic trays, VCI films.</t>
  </si>
  <si>
    <t>Packaging materials (S3)</t>
  </si>
  <si>
    <t>Embodied emissions of packaging — S3 Category 1</t>
  </si>
  <si>
    <t>EF-S7</t>
  </si>
  <si>
    <t>Returnable/reusable packaging pools, recycled corrugate</t>
  </si>
  <si>
    <t>VC-04</t>
  </si>
  <si>
    <t>Employee commuting &amp; business travel</t>
  </si>
  <si>
    <t>Buses, personal vehicles, flights for a typically labour-intensive sector.</t>
  </si>
  <si>
    <t>S3 Categories 6 &amp; 7</t>
  </si>
  <si>
    <t>EF-M1, EF-M2</t>
  </si>
  <si>
    <t>Bus fleet optimisation, EV shuttle adoption</t>
  </si>
  <si>
    <t>VC-05</t>
  </si>
  <si>
    <t>Waste disposal &amp; recycling</t>
  </si>
  <si>
    <t>Metal scrap (high-value recycling), used oil, paint sludge, ETP sludge, foundry sand.</t>
  </si>
  <si>
    <t>Third-party transport &amp; processing</t>
  </si>
  <si>
    <t>S3 Category 5; avoided emissions via scrap recycling</t>
  </si>
  <si>
    <t>EF-T1</t>
  </si>
  <si>
    <t>Scrap segregation, co-processing of sludges in cement kilns, sand reuse</t>
  </si>
  <si>
    <t>VC-06</t>
  </si>
  <si>
    <t>Use phase &amp; end-of-life of sold products</t>
  </si>
  <si>
    <t>Component contribution to vehicle fuel/energy use (weight, friction) and EoL recycling.</t>
  </si>
  <si>
    <t>In-vehicle energy over component life</t>
  </si>
  <si>
    <t>S3 Categories 11 &amp; 12</t>
  </si>
  <si>
    <t>—</t>
  </si>
  <si>
    <t>Lightweighting, low-friction design, design-for-recycling — quantify in GF360 LCA module</t>
  </si>
  <si>
    <t>Notes: 'Available and possible' catalogue — a typical auto-ancillary plant runs a subset of these. S1 = direct fuel/process emissions on site; S2 = purchased electricity; S3 = value chain. EF codes refer to the 'Emission Factors (India)' tab. Energy-intensity figures are indicative industry ranges; validate per facility during the GF360 baseline assessment.</t>
  </si>
  <si>
    <t>DEFAULT EMISSION FACTORS — INDIA</t>
  </si>
  <si>
    <t>India-specific default emission factors for the auto ancillary / manufacturing sector. All factor values are BLUE editable defaults on yellow — verify against the latest CEA database, IPCC guidelines and supplier data at proposal time. kgCO2e per unit basis unless stated. Material factors are indicative cradle-to-gate values and vary widely by route and supplier.</t>
  </si>
  <si>
    <t>Category</t>
  </si>
  <si>
    <t>Source / Activity</t>
  </si>
  <si>
    <t>Unit</t>
  </si>
  <si>
    <t>EF (kgCO2e per unit)</t>
  </si>
  <si>
    <t>Alternative basis</t>
  </si>
  <si>
    <t>Scope</t>
  </si>
  <si>
    <t>A. GRID ELECTRICITY (SCOPE 2)</t>
  </si>
  <si>
    <t>Grid electricity — all-India weighted average (incl. renewables)</t>
  </si>
  <si>
    <t>kWh</t>
  </si>
  <si>
    <t>0.7117 tCO2/MWh</t>
  </si>
  <si>
    <t>CEA CO2 Baseline Database, Version 21.0 (Nov 2025), FY 2024-25 weighted average emission factor. Standard location-based Scope 2 factor for India under the GHG Protocol. Update annually when CEA releases a new version.</t>
  </si>
  <si>
    <t>EF-E2</t>
  </si>
  <si>
    <t>Grid electricity — combined margin (CDM / offset projects)</t>
  </si>
  <si>
    <t>0.7383 tCO2/MWh</t>
  </si>
  <si>
    <t>CEA CO2 Baseline Database v21.0 (Nov 2025) combined margin — use only for CDM/carbon-credit baseline calculations, not for corporate Scope 2 inventory.</t>
  </si>
  <si>
    <t>EF-E3</t>
  </si>
  <si>
    <t>On-site solar PV / contracted renewable power</t>
  </si>
  <si>
    <t>0 tCO2/MWh (generation)</t>
  </si>
  <si>
    <t>Zero operational emissions at generation. Under market-based Scope 2 accounting, renewable purchases with RECs/green tariffs are reported at 0; embodied panel emissions sit in Scope 3.</t>
  </si>
  <si>
    <t>B. STATIONARY COMBUSTION — FUELS (SCOPE 1)</t>
  </si>
  <si>
    <t>Fuel</t>
  </si>
  <si>
    <t>High-speed diesel (HSD) — DG sets, burners</t>
  </si>
  <si>
    <t>litre</t>
  </si>
  <si>
    <t>74.1 tCO2/TJ (NCV)</t>
  </si>
  <si>
    <t>IPCC 2006 Guidelines Vol.2 default (gas/diesel oil) with Indian density and NCV; consistent with India GHG Program (WRI India / CII / TERI) published factor of ~2.68 kgCO2/litre.</t>
  </si>
  <si>
    <t>EF-F2</t>
  </si>
  <si>
    <t>Furnace oil (FO) — furnaces, boilers, thermic fluid heaters</t>
  </si>
  <si>
    <t>kg</t>
  </si>
  <si>
    <t>77.4 tCO2/TJ (NCV)</t>
  </si>
  <si>
    <t>IPCC 2006 default (residual fuel oil), NCV ~40.4 MJ/kg. Approx. 3.0 kgCO2 per litre at 0.95 kg/l density.</t>
  </si>
  <si>
    <t>EF-F3</t>
  </si>
  <si>
    <t>Light diesel oil (LDO)</t>
  </si>
  <si>
    <t>IPCC 2006 default (gas/diesel oil basket) with Indian LDO density/NCV.</t>
  </si>
  <si>
    <t>EF-F4</t>
  </si>
  <si>
    <t>LPG — furnaces, brazing, ovens, canteen</t>
  </si>
  <si>
    <t>63.1 tCO2/TJ (NCV)</t>
  </si>
  <si>
    <t>IPCC 2006 default, NCV ~47.3 MJ/kg. Approx. 1.6 kgCO2 per litre of liquid LPG.</t>
  </si>
  <si>
    <t>EF-F5</t>
  </si>
  <si>
    <t>Natural gas / PNG — furnaces, ovens, kettles</t>
  </si>
  <si>
    <t>SCM</t>
  </si>
  <si>
    <t>56.1 tCO2/TJ (NCV)</t>
  </si>
  <si>
    <t>IPCC 2006 default with typical Indian pipeline gas NCV of ~34.9 MJ/SCM (GCV ~38.7 MJ/SCM). Verify against the GA/supplier's gas quality certificate.</t>
  </si>
  <si>
    <t>EF-F6</t>
  </si>
  <si>
    <t>Coal — Indian non-coking (boiler grade)</t>
  </si>
  <si>
    <t>tonne</t>
  </si>
  <si>
    <t>~96 tCO2/TJ (NCV)</t>
  </si>
  <si>
    <t>Indicative for Indian non-coking coal of GCV ~4,000 kcal/kg (CEA/CIMFR basis). Highly GCV-dependent (1.4–2.2 tCO2/t across grades) — always use the grade-specific GCV and carbon content from the coal supplier.</t>
  </si>
  <si>
    <t>Foundry / met coke (cupola)</t>
  </si>
  <si>
    <t>107 tCO2/TJ (NCV)</t>
  </si>
  <si>
    <t>IPCC 2006 default for coke oven coke, NCV ~28.2 MJ/kg.</t>
  </si>
  <si>
    <t>EF-F8</t>
  </si>
  <si>
    <t>Biomass briquettes / agro-waste (boilers)</t>
  </si>
  <si>
    <t>Biogenic CO2 ~1,500 kg/t reported separately</t>
  </si>
  <si>
    <t>Fossil CO2 counted as zero under GHG Protocol; biogenic CO2 reported outside the scopes. Minor CH4/N2O from combustion (~10–30 kgCO2e/t) may be added for completeness per IPCC defaults.</t>
  </si>
  <si>
    <t>EF-F9</t>
  </si>
  <si>
    <t>Petrol / motor spirit (MS)</t>
  </si>
  <si>
    <t>69.3 tCO2/TJ (NCV)</t>
  </si>
  <si>
    <t>IPCC 2006 default (motor gasoline) with Indian density ~0.74 kg/l.</t>
  </si>
  <si>
    <t>EF-F10</t>
  </si>
  <si>
    <t>Process gas</t>
  </si>
  <si>
    <t>Acetylene (gas cutting / flame processes)</t>
  </si>
  <si>
    <t>Stoichiometric</t>
  </si>
  <si>
    <t>Stoichiometric combustion of C2H2 (88 g CO2 per 26 g C2H2).</t>
  </si>
  <si>
    <t>C. MOBILE COMBUSTION — VEHICLES &amp; MATERIAL HANDLING (SCOPE 1)</t>
  </si>
  <si>
    <t>EF-M1</t>
  </si>
  <si>
    <t>Mobile</t>
  </si>
  <si>
    <t>Diesel — company vehicles, forklifts, cranes</t>
  </si>
  <si>
    <t>Same fuel basis as EF-F1; India GHG Program mobile combustion factor.</t>
  </si>
  <si>
    <t>EF-M2</t>
  </si>
  <si>
    <t>Petrol — company vehicles, 2-wheelers, test fuel</t>
  </si>
  <si>
    <t>Same fuel basis as EF-F9.</t>
  </si>
  <si>
    <t>EF-M3</t>
  </si>
  <si>
    <t>CNG — company vehicles / shuttle buses</t>
  </si>
  <si>
    <t>IPCC 2006 natural gas default, NCV ~48 MJ/kg for CNG.</t>
  </si>
  <si>
    <t>EF-M4</t>
  </si>
  <si>
    <t>LPG — forklifts</t>
  </si>
  <si>
    <t>Same basis as EF-F4.</t>
  </si>
  <si>
    <t>D. REFRIGERANT &amp; PROCESS-GAS FUGITIVES — GWP-100 (SCOPE 1)</t>
  </si>
  <si>
    <t>EF-R1</t>
  </si>
  <si>
    <t>Refrigerant</t>
  </si>
  <si>
    <t>R-134a (vehicle AC charging lines, chillers)</t>
  </si>
  <si>
    <t>kg refrigerant</t>
  </si>
  <si>
    <t>GWP-100 (AR5)</t>
  </si>
  <si>
    <t>IPCC AR5 100-year GWP. Emission = annual top-up / charge loss (kg) x GWP. Use AR6 value (1,530) if the client reports under latest BRSR Core / ISO 14064 guidance.</t>
  </si>
  <si>
    <t>EF-R2</t>
  </si>
  <si>
    <t>R-410A (HVAC / chillers)</t>
  </si>
  <si>
    <t>IPCC AR5 blend-weighted GWP (50% R-32 / 50% R-125).</t>
  </si>
  <si>
    <t>EF-R3</t>
  </si>
  <si>
    <t>R-32 (new low-GWP HVAC)</t>
  </si>
  <si>
    <t>IPCC AR5. Preferred replacement gas in decarbonisation roadmaps.</t>
  </si>
  <si>
    <t>EF-R4</t>
  </si>
  <si>
    <t>R-404A (cold storage / process chillers)</t>
  </si>
  <si>
    <t>IPCC AR5 blend-weighted GWP — very high; prioritise phase-out.</t>
  </si>
  <si>
    <t>EF-R5</t>
  </si>
  <si>
    <t>R-22 / HCFC-22 (legacy plants; being phased out under HPMP)</t>
  </si>
  <si>
    <t>IPCC AR5. Also an ozone-depleting substance under India's HCFC Phase-out Management Plan — flag for replacement.</t>
  </si>
  <si>
    <t>EF-R6</t>
  </si>
  <si>
    <t>CO2 — welding shielding gas (MIG/MAG), purchased CO2</t>
  </si>
  <si>
    <t>kg gas</t>
  </si>
  <si>
    <t>Purchased CO2 released to atmosphere is reported at GWP 1 (direct emission of the gas itself).</t>
  </si>
  <si>
    <t>EF-R7</t>
  </si>
  <si>
    <t>SF6 (HV switchgear insulation)</t>
  </si>
  <si>
    <t>IPCC AR5. Tiny leaks dominate — maintain switchgear gas logs.</t>
  </si>
  <si>
    <t>E. PURCHASED MATERIALS — EMBODIED, CRADLE-TO-GATE (SCOPE 3 CAT 1; CBAM-RELEVANT)</t>
  </si>
  <si>
    <t>EF-S1</t>
  </si>
  <si>
    <t>Material</t>
  </si>
  <si>
    <t>Steel — Indian primary (BF-BOF route)</t>
  </si>
  <si>
    <t>2.35–2.90 tCO2e/t range</t>
  </si>
  <si>
    <t>Indicative Indian average (Ministry of Steel / worldsteel data: India averages ~2.5 tCO2/t crude steel vs global ~1.9 due to coal-based BF-BOF). CBAM-relevant input — replace with the mill's verified product footprint where available.</t>
  </si>
  <si>
    <t>EF-S2</t>
  </si>
  <si>
    <t>Steel — secondary (scrap-EAF / induction furnace route)</t>
  </si>
  <si>
    <t>0.7–1.5 tCO2e/t range</t>
  </si>
  <si>
    <t>Indicative for Indian scrap-based EAF/IF steel on grid power; global scrap-EAF benchmark ~0.7 tCO2/t. Strong lever: shifting to scrap-route steel typically halves the input footprint.</t>
  </si>
  <si>
    <t>EF-S3</t>
  </si>
  <si>
    <t>Aluminium — Indian primary ingot</t>
  </si>
  <si>
    <t>16–21 tCO2e/t range</t>
  </si>
  <si>
    <t>Indicative for Indian smelters on coal-based captive power (IAI regional data; global average ~11.5 tCO2e/t). Dominant footprint driver for Al-intensive components.</t>
  </si>
  <si>
    <t>EF-S4</t>
  </si>
  <si>
    <t>Aluminium — recycled / secondary ingot</t>
  </si>
  <si>
    <t>0.5–1.0 tCO2e/t range</t>
  </si>
  <si>
    <t>~95% lower than primary (IAI). Key lever for die-casters — maximise certified recycled content.</t>
  </si>
  <si>
    <t>EF-S5</t>
  </si>
  <si>
    <t>Copper — refined (wire rod, windings)</t>
  </si>
  <si>
    <t>3.5–4.5 tCO2e/t range</t>
  </si>
  <si>
    <t>Indicative global cradle-to-gate (ICA / ecoinvent-type sources); India-specific values depend on ore vs scrap route.</t>
  </si>
  <si>
    <t>EF-S6</t>
  </si>
  <si>
    <t>Zinc — refined (galvanising / plating)</t>
  </si>
  <si>
    <t>2.5–4.0 tCO2e/t range</t>
  </si>
  <si>
    <t>Indicative cradle-to-gate (IZA); primary Indian producer (hydrometallurgical) publishes lower product-specific values — use supplier EPD where available.</t>
  </si>
  <si>
    <t>Polymers — commodity/engineering average (PP, ABS, PA)</t>
  </si>
  <si>
    <t>1.6–6.5 tCO2e/t by resin</t>
  </si>
  <si>
    <t>Indicative virgin-resin cradle-to-gate (PlasticsEurope-type data: PP ~1.6, ABS ~3.1, PA66 up to ~6.5). Use resin-specific factors; recycled resin is typically 50–80% lower.</t>
  </si>
  <si>
    <t>EF-S8</t>
  </si>
  <si>
    <t>Rubber — synthetic (SBR/EPDM) incl. carbon black</t>
  </si>
  <si>
    <t>NR ~0.7 tCO2e/t</t>
  </si>
  <si>
    <t>Indicative for synthetic elastomer compounds; natural rubber is far lower (biogenic). Carbon black alone ~2.4–3.0 tCO2e/t.</t>
  </si>
  <si>
    <t>EF-S9</t>
  </si>
  <si>
    <t>Pig iron / foundry-grade iron units</t>
  </si>
  <si>
    <t>1.7–2.3 tCO2e/t range</t>
  </si>
  <si>
    <t>Indicative for Indian blast-furnace pig iron; foundry returns and scrap charge reduce the effective input factor.</t>
  </si>
  <si>
    <t>EF-S10</t>
  </si>
  <si>
    <t>Flat / float glass</t>
  </si>
  <si>
    <t>1.0–1.4 tCO2e/t range</t>
  </si>
  <si>
    <t>Indicative cradle-to-gate for float glass (fuel + carbonate process emissions).</t>
  </si>
  <si>
    <t>F. TRANSPORT &amp; LOGISTICS (SCOPE 3 CAT 4 &amp; 9)</t>
  </si>
  <si>
    <t>Transport</t>
  </si>
  <si>
    <t>Road freight — HDV rigid/articulated (&gt;12 t)</t>
  </si>
  <si>
    <t>tonne-km</t>
  </si>
  <si>
    <t>kgCO2e per t-km</t>
  </si>
  <si>
    <t>Indicative India GHG Program road-freight factor for heavy-duty vehicles; varies with load factor and vehicle age.</t>
  </si>
  <si>
    <t>EF-T2</t>
  </si>
  <si>
    <t>Road freight — LCV / MDV (&lt;12 t)</t>
  </si>
  <si>
    <t>Indicative India GHG Program factor for light/medium commercial vehicles — much higher per t-km than HDVs; consolidate loads.</t>
  </si>
  <si>
    <t>EF-T3</t>
  </si>
  <si>
    <t>Rail freight (Indian Railways)</t>
  </si>
  <si>
    <t>~10 gCO2 per NTKM</t>
  </si>
  <si>
    <t>Indian Railways published net-tonne-km intensity (~9.7 gCO2/NTKM, falling as traction electrifies). Modal shift from road cuts freight emissions ~85%.</t>
  </si>
  <si>
    <t>EF-T4</t>
  </si>
  <si>
    <t>Sea freight — container (EU exports)</t>
  </si>
  <si>
    <t>Indicative deep-sea container factor (GLEC/IMO-type averages) for India–EU export shipments.</t>
  </si>
  <si>
    <t>EF-T5</t>
  </si>
  <si>
    <t>Air freight (emergency shipments)</t>
  </si>
  <si>
    <t>Indicative long-haul belly/freighter factor (GLEC-type average). ~50x sea freight — avoid via better planning.</t>
  </si>
  <si>
    <t>QUICK SCOPE 1+2 ESTIMATOR — DERIVE THE CLIENT'S EMISSIONS PROFILE FROM ACTIVITY DATA</t>
  </si>
  <si>
    <t>Enter the client's annual activity data (BLUE cells) collected during discovery. Emissions are computed from the default factors above (the tCO2e formulas pull live from column E — change a factor and the estimate updates). The resulting intensity can replace the placeholder 'Embedded Emissions Intensity' on the 'Client Inputs' tab.</t>
  </si>
  <si>
    <t>Energy source</t>
  </si>
  <si>
    <t>Annual quantity</t>
  </si>
  <si>
    <t>EF used</t>
  </si>
  <si>
    <t>EF unit</t>
  </si>
  <si>
    <t>tCO2e per year</t>
  </si>
  <si>
    <t>MWh</t>
  </si>
  <si>
    <t>tCO2/MWh</t>
  </si>
  <si>
    <t>Diesel (DG sets + material handling)</t>
  </si>
  <si>
    <t>kL</t>
  </si>
  <si>
    <t>tCO2/kL</t>
  </si>
  <si>
    <t>Furnace oil</t>
  </si>
  <si>
    <t>tonnes</t>
  </si>
  <si>
    <t>tCO2/t</t>
  </si>
  <si>
    <t>Natural gas / PNG</t>
  </si>
  <si>
    <t>'000 SCM</t>
  </si>
  <si>
    <t>tCO2/'000 SCM</t>
  </si>
  <si>
    <t>LPG</t>
  </si>
  <si>
    <t>Coal (boiler grade)</t>
  </si>
  <si>
    <t>kgCO2/t</t>
  </si>
  <si>
    <t>Total Scope 1 — fuels (tCO2e)</t>
  </si>
  <si>
    <t>Total Scope 2 — electricity (tCO2e)</t>
  </si>
  <si>
    <t>TOTAL SCOPE 1 + 2 (tCO2e per year)</t>
  </si>
  <si>
    <t>Estimated emissions intensity (tCO2e per Rs Cr turnover)</t>
  </si>
  <si>
    <t>Current model input — 'Embedded Emissions Intensity' on Client Inputs (for comparison)</t>
  </si>
  <si>
    <t>If the estimator's intensity differs materially from the placeholder on 'Client Inputs' (B13), update B13 with this measured estimate — the CBAM exposure, cost-of-inaction and ROI results all flow from it. Note: intensity here is Scope 1+2 per Rs Cr of total turnover; CBAM embedded-emissions intensity is product-specific (per tonne of goods) and is refined in the GF360 platform.</t>
  </si>
  <si>
    <t>PROCESS FLOW DIAGRAMS — AUTO ANCILLARY MANUFACTURING ROUTES</t>
  </si>
  <si>
    <t>Representative simplified flows for the main auto-ancillary process routes, annotated with energy inputs (amber boxes) and GHG emission scopes/hotspots (grey tags). S1 = on-site fuel/process emissions, S2 = purchased electricity, S3 = value chain. Map each client facility precisely in the GF360 platform during onboarding.</t>
  </si>
  <si>
    <t>Process step</t>
  </si>
  <si>
    <t>Energy / fuel input</t>
  </si>
  <si>
    <t>Scope tag / hotspot</t>
  </si>
  <si>
    <t>D1. GENERIC AUTO-ANCILLARY PLANT — END-TO-END VALUE FLOW</t>
  </si>
  <si>
    <t>Electricity + FO/NG/LPG</t>
  </si>
  <si>
    <t>Electricity + NG/LPG ovens</t>
  </si>
  <si>
    <t>Diesel (3rd-party fleet)</t>
  </si>
  <si>
    <t>↓</t>
  </si>
  <si>
    <t>Raw material receipt &amp; storage</t>
  </si>
  <si>
    <t>→</t>
  </si>
  <si>
    <t>Primary forming (cast / forge / stamp / mould)</t>
  </si>
  <si>
    <t>Machining &amp; finishing</t>
  </si>
  <si>
    <t>Heat treatment</t>
  </si>
  <si>
    <t>Surface treatment &amp; coating</t>
  </si>
  <si>
    <t>Assembly &amp; testing</t>
  </si>
  <si>
    <t>Dispatch &amp; outbound logistics</t>
  </si>
  <si>
    <t>S3 — embodied materials (CBAM lever)</t>
  </si>
  <si>
    <t>S1+S2 HOTSPOT</t>
  </si>
  <si>
    <t>S1+S2</t>
  </si>
  <si>
    <t>S3 packaging</t>
  </si>
  <si>
    <t>S3 freight</t>
  </si>
  <si>
    <t>D2. FOUNDRY &amp; CASTING ROUTE (FC-01 to FC-10)</t>
  </si>
  <si>
    <t>Electricity (induction) / coke (cupola)</t>
  </si>
  <si>
    <t>Electricity + resins</t>
  </si>
  <si>
    <t>Electricity + NG (thermal reclaim)</t>
  </si>
  <si>
    <t>FO/NG or electricity</t>
  </si>
  <si>
    <t>Scrap / pig iron / ingot receipt</t>
  </si>
  <si>
    <t>Charge preparation &amp; weighing</t>
  </si>
  <si>
    <t>Melting — induction or cupola</t>
  </si>
  <si>
    <t>Moulding &amp; core making</t>
  </si>
  <si>
    <t>Pouring &amp; solidification</t>
  </si>
  <si>
    <t>Shakeout &amp; sand reclamation</t>
  </si>
  <si>
    <t>Fettling, grinding &amp; shot blast</t>
  </si>
  <si>
    <t>Heat treatment &amp; inspection</t>
  </si>
  <si>
    <t>S3 — metallics</t>
  </si>
  <si>
    <t>S2 or S1 — LARGEST hotspot (500-800 kWh/t melt)</t>
  </si>
  <si>
    <t>D3. FORGING &amp; MACHINING ROUTE (FG-01 to FG-07, MC-01 to MC-09)</t>
  </si>
  <si>
    <t>FO/NG (furnace) or electricity (induction)</t>
  </si>
  <si>
    <t>NG/LPG or electricity</t>
  </si>
  <si>
    <t>Steel bar / billet receipt</t>
  </si>
  <si>
    <t>Billet cutting</t>
  </si>
  <si>
    <t>Billet heating — furnace or induction</t>
  </si>
  <si>
    <t>Forging press / hammer</t>
  </si>
  <si>
    <t>Trimming &amp; coining</t>
  </si>
  <si>
    <t>Heat treatment (harden / temper)</t>
  </si>
  <si>
    <t>Shot blast + CNC machining</t>
  </si>
  <si>
    <t>Inspection &amp; dispatch</t>
  </si>
  <si>
    <t>S3 — steel (CBAM-relevant)</t>
  </si>
  <si>
    <t>S1 HOTSPOT (fuel) / S2 (induction)</t>
  </si>
  <si>
    <t>D4. PRESS SHOP &amp; FABRICATION ROUTE (SM-01 to SM-07, JW-01 to JW-07)</t>
  </si>
  <si>
    <t>Electricity + compressed air</t>
  </si>
  <si>
    <t>Electricity + assist gases</t>
  </si>
  <si>
    <t>Electricity + CO2/Ar shielding gas</t>
  </si>
  <si>
    <t>NG/LPG cure ovens + electricity</t>
  </si>
  <si>
    <t>Steel / Al coil receipt</t>
  </si>
  <si>
    <t>Slitting &amp; blanking</t>
  </si>
  <si>
    <t>Laser / plasma cutting</t>
  </si>
  <si>
    <t>Welding — MIG / spot</t>
  </si>
  <si>
    <t>Pre-treatment + e-coat / paint</t>
  </si>
  <si>
    <t>Sub-assembly</t>
  </si>
  <si>
    <t>S3 — coil (CBAM lever)</t>
  </si>
  <si>
    <t>S2 (yield → S3)</t>
  </si>
  <si>
    <t>S1 (CO2 gas) + S2</t>
  </si>
  <si>
    <t>S1+S2 HOTSPOT (ovens)</t>
  </si>
  <si>
    <t>D5. PLASTICS / POLYMER ROUTE (PL-01 to PL-08)</t>
  </si>
  <si>
    <t>Electricity (dryers)</t>
  </si>
  <si>
    <t>Electricity (machines + chillers)</t>
  </si>
  <si>
    <t>Polymer granule receipt</t>
  </si>
  <si>
    <t>Resin drying</t>
  </si>
  <si>
    <t>Injection / blow moulding</t>
  </si>
  <si>
    <t>Degating &amp; trimming</t>
  </si>
  <si>
    <t>Painting / metallising (optional)</t>
  </si>
  <si>
    <t>Welding &amp; assembly</t>
  </si>
  <si>
    <t>Packing &amp; dispatch</t>
  </si>
  <si>
    <t>S3 — resin (1.6-6.5 tCO2e/t)</t>
  </si>
  <si>
    <t>S2 HOTSPOT (0.4-1.5 kWh/kg)</t>
  </si>
  <si>
    <t>S3 packaging &amp; freight</t>
  </si>
  <si>
    <t>D6. SURFACE TREATMENT / PLATING LINE (ST-01 to ST-10)</t>
  </si>
  <si>
    <t>Steam / electric bath heating</t>
  </si>
  <si>
    <t>Electricity (rectifiers + heating)</t>
  </si>
  <si>
    <t>Electricity (pumps)</t>
  </si>
  <si>
    <t>Component receipt</t>
  </si>
  <si>
    <t>Degreasing / alkaline cleaning</t>
  </si>
  <si>
    <t>Pickling / acid activation</t>
  </si>
  <si>
    <t>Plating / phosphating / anodising baths</t>
  </si>
  <si>
    <t>Rinse cascade (to ETP)</t>
  </si>
  <si>
    <t>Passivation &amp; sealing</t>
  </si>
  <si>
    <t>Drying / curing oven</t>
  </si>
  <si>
    <t>S1/S2</t>
  </si>
  <si>
    <t>S2 HOTSPOT (rectifiers); anodes → S3</t>
  </si>
  <si>
    <t>S2 + ETP energy</t>
  </si>
  <si>
    <t>S3 chemicals</t>
  </si>
  <si>
    <t>D7. RUBBER &amp; ELASTOMER ROUTE (RB-01 to RB-06)</t>
  </si>
  <si>
    <t>Electricity (high)</t>
  </si>
  <si>
    <t>Electricity + steam</t>
  </si>
  <si>
    <t>Electricity / steam platens</t>
  </si>
  <si>
    <t>Steam — FO or biomass boiler</t>
  </si>
  <si>
    <t>Polymer + carbon black receipt</t>
  </si>
  <si>
    <t>Mixing / compounding (Banbury)</t>
  </si>
  <si>
    <t>Calendering / extrusion / preforms</t>
  </si>
  <si>
    <t>Moulding (compression / injection)</t>
  </si>
  <si>
    <t>Vulcanisation / curing</t>
  </si>
  <si>
    <t>Trimming &amp; rubber-metal bonding</t>
  </si>
  <si>
    <t>Testing &amp; dispatch</t>
  </si>
  <si>
    <t>S3 — carbon black &amp; polymer</t>
  </si>
  <si>
    <t>S2 HOTSPOT</t>
  </si>
  <si>
    <t>S1 HOTSPOT (boiler) — biomass lever</t>
  </si>
  <si>
    <t>These flows are simplified and representative — actual routings vary by plant. During GF360 onboarding each facility's process map is digitised, metered energy is mapped to process steps, and the hotspots above are quantified into the facility's marginal abatement cost curve (MACC).</t>
  </si>
  <si>
    <t>All-India grid emission factor</t>
  </si>
  <si>
    <t>CEA CO2 Baseline Database, Version 21.0 (Nov 2025) - FY 2024-25 weighted average incl. renewables; the standard location-based Scope 2 factor for India. Update annually when CEA releases a new version. See 'Emission Factors (India)'.</t>
  </si>
  <si>
    <t>Fuel &amp; mobile combustion emission factors</t>
  </si>
  <si>
    <t>See 'Emission Factors (India)'</t>
  </si>
  <si>
    <t>IPCC 2006 Guidelines Vol. 2 defaults applied with Indian NCV/density assumptions; cross-checked against India GHG Program (WRI India / CII / TERI) published factors.</t>
  </si>
  <si>
    <t>Material embodied emission factors (steel, Al, Cu, Zn, polymers, rubber, glass)</t>
  </si>
  <si>
    <t>Indicative cradle-to-gate values</t>
  </si>
  <si>
    <t>worldsteel / Ministry of Steel data for Indian BF-BOF steel, International Aluminium Institute regional data, and industry LCA sources. Wide route/supplier variance - replace with supplier-specific or CBAM-verified product footprints during discovery.</t>
  </si>
  <si>
    <t>Refrigerant global warming potentials</t>
  </si>
  <si>
    <t>IPCC AR5, 100-year GWP</t>
  </si>
  <si>
    <t>IPCC Fifth Assessment Report GWP-100 values; switch to AR6 values if the client reports under the latest BRSR Core / ISO 14064-1 guidance.</t>
  </si>
  <si>
    <t>Transport &amp; logistics emission factors</t>
  </si>
  <si>
    <t>Indicative per tonne-km</t>
  </si>
  <si>
    <t>India GHG Program road-freight factors; Indian Railways (~10 gCO2/NTKM); GLEC-type averages for sea and air freight.</t>
  </si>
  <si>
    <t>CUSTOM PROCESS FLOW — BUILD THE CLIENT'S ROUTE STEP BY STEP</t>
  </si>
  <si>
    <t>Free-flow diagram builder: click any BLUE 'Select activity' cell and pick a process step from the dropdown (all 105 activities from the 'Auto Ancillary Activities' catalogue, coded by category). The scope, energy inputs, emission sources and decarbonisation levers for each chosen step fill in automatically below the box. Steps run 1→5 on the first band, continue 6→10 on the second; leave trailing steps blank for shorter routes. A forging-route example is pre-loaded — overwrite it with the client's actual sequence during discovery.</t>
  </si>
  <si>
    <t>HELPER TABLE (do not edit) - feeds the step dropdowns and lookups</t>
  </si>
  <si>
    <t>STEP 1</t>
  </si>
  <si>
    <t>STEP 2</t>
  </si>
  <si>
    <t>STEP 3</t>
  </si>
  <si>
    <t>STEP 4</t>
  </si>
  <si>
    <t>STEP 5</t>
  </si>
  <si>
    <t>FC-01 - Induction furnace melting (iron / steel)</t>
  </si>
  <si>
    <t>FG-01 - Billet shearing / sawing</t>
  </si>
  <si>
    <t>FG-02 - Billet heating — fuel-fired furnace</t>
  </si>
  <si>
    <t>FG-04 - Hot / warm forging (press or hammer)</t>
  </si>
  <si>
    <t>FG-07 - Trimming, piercing &amp; coining</t>
  </si>
  <si>
    <t>HT-02 - Hardening, quenching &amp; tempering</t>
  </si>
  <si>
    <t>FC-02 - Cupola furnace melting</t>
  </si>
  <si>
    <t>FC-03 - Aluminium melting &amp; holding</t>
  </si>
  <si>
    <t>FC-04 - High-pressure die casting (HPDC)</t>
  </si>
  <si>
    <t>FC-05 - Gravity / low-pressure die casting</t>
  </si>
  <si>
    <t>FC-06 - Sand casting (green sand line)</t>
  </si>
  <si>
    <t>↓  continues at Step 6</t>
  </si>
  <si>
    <t>FC-07 - Investment casting (lost wax)</t>
  </si>
  <si>
    <t>STEP 6</t>
  </si>
  <si>
    <t>STEP 7</t>
  </si>
  <si>
    <t>STEP 8</t>
  </si>
  <si>
    <t>STEP 9</t>
  </si>
  <si>
    <t>STEP 10</t>
  </si>
  <si>
    <t>FC-08 - Core making (cold box / shell)</t>
  </si>
  <si>
    <t>MC-01 - CNC turning</t>
  </si>
  <si>
    <t>MC-04 - Grinding (surface / cylindrical / centreless)</t>
  </si>
  <si>
    <t>ST-03 - Electroplating (Zn, Zn-Ni, hard Cr, Ni)</t>
  </si>
  <si>
    <t>AT-04 - Metrology &amp; inspection (CMM, vision)</t>
  </si>
  <si>
    <t>VC-02 - Inbound &amp; outbound logistics</t>
  </si>
  <si>
    <t>FC-09 - Fettling, grinding &amp; shot blasting</t>
  </si>
  <si>
    <t>FC-10 - Sand reclamation (thermal / mechanical)</t>
  </si>
  <si>
    <t>FG-03 - Billet heating — induction</t>
  </si>
  <si>
    <t>ROUTE SUMMARY</t>
  </si>
  <si>
    <t>FG-05 - Cold forging / cold heading</t>
  </si>
  <si>
    <t>Steps selected in this route</t>
  </si>
  <si>
    <t>FG-06 - Ring rolling</t>
  </si>
  <si>
    <t>Steps with on-site fuel / process emissions (Scope 1)</t>
  </si>
  <si>
    <t>Steps drawing purchased electricity (Scope 2)</t>
  </si>
  <si>
    <t>Steps with material / value-chain relevance (Scope 3)</t>
  </si>
  <si>
    <t>MC-02 - Milling / machining centres (VMC/HMC)</t>
  </si>
  <si>
    <t>MC-03 - Drilling, tapping &amp; boring</t>
  </si>
  <si>
    <t>Tip: pair this sheet with 'Emission Factors (India)' — the EF codes shown under each step point to the default factors to apply — and with the pre-drawn routes on 'Process Flow Diagrams'. To model a plant with more than 10 steps, split the route into two builder passes or duplicate this sheet (right-click the tab &gt; Move or Copy &gt; Create a copy).</t>
  </si>
  <si>
    <t>MC-05 - Honing / lapping / superfinishing</t>
  </si>
  <si>
    <t>MC-06 - Gear cutting (hobbing / shaping / shaving / grinding)</t>
  </si>
  <si>
    <t>MC-07 - Broaching</t>
  </si>
  <si>
    <t>MC-08 - EDM / wire-cut (tool room)</t>
  </si>
  <si>
    <t>MC-09 - Coolant, chip &amp; oil-mist management</t>
  </si>
  <si>
    <t>SM-01 - Coil slitting / decoiling / blanking</t>
  </si>
  <si>
    <t>SM-02 - Press stamping / deep drawing</t>
  </si>
  <si>
    <t>SM-03 - Fine blanking</t>
  </si>
  <si>
    <t>SM-04 - Roll forming / ERW tube mills</t>
  </si>
  <si>
    <t>SM-05 - Tube bending &amp; end forming</t>
  </si>
  <si>
    <t>SM-06 - Laser / plasma / waterjet cutting</t>
  </si>
  <si>
    <t>SM-07 - CNC press brake bending</t>
  </si>
  <si>
    <t>JW-01 - MIG / MAG welding</t>
  </si>
  <si>
    <t>JW-02 - TIG welding</t>
  </si>
  <si>
    <t>JW-03 - Resistance spot / seam / projection welding</t>
  </si>
  <si>
    <t>JW-04 - Brazing (furnace / induction / flame)</t>
  </si>
  <si>
    <t>JW-05 - Soldering (radiators, electricals, electronics)</t>
  </si>
  <si>
    <t>JW-06 - Friction / friction-stir / laser welding</t>
  </si>
  <si>
    <t>JW-07 - Riveting, clinching &amp; adhesive bonding</t>
  </si>
  <si>
    <t>HT-01 - Carburising / carbonitriding</t>
  </si>
  <si>
    <t>HT-03 - Annealing / normalising / stress relieving</t>
  </si>
  <si>
    <t>HT-04 - Induction hardening &amp; tempering</t>
  </si>
  <si>
    <t>HT-05 - Nitriding / gas nitrocarburising</t>
  </si>
  <si>
    <t>HT-06 - Solution treatment &amp; ageing (aluminium)</t>
  </si>
  <si>
    <t>HT-07 - Shot peening</t>
  </si>
  <si>
    <t>ST-01 - Degreasing &amp; pre-treatment</t>
  </si>
  <si>
    <t>ST-02 - Pickling (acid)</t>
  </si>
  <si>
    <t>ST-04 - Anodising (aluminium)</t>
  </si>
  <si>
    <t>ST-05 - CED / e-coating (cathodic electro-deposition)</t>
  </si>
  <si>
    <t>ST-06 - Powder coating</t>
  </si>
  <si>
    <t>ST-07 - Liquid painting line</t>
  </si>
  <si>
    <t>ST-08 - Hot-dip galvanising</t>
  </si>
  <si>
    <t>ST-09 - PVD / CVD / DLC coating</t>
  </si>
  <si>
    <t>ST-10 - Passivation, sealing &amp; rust preventives</t>
  </si>
  <si>
    <t>PL-01 - Resin drying &amp; material handling</t>
  </si>
  <si>
    <t>PL-02 - Injection moulding</t>
  </si>
  <si>
    <t>PL-03 - Blow moulding</t>
  </si>
  <si>
    <t>PL-04 - Extrusion (profiles &amp; tubing)</t>
  </si>
  <si>
    <t>PL-05 - Thermoforming / vacuum forming</t>
  </si>
  <si>
    <t>PL-06 - PU foam moulding</t>
  </si>
  <si>
    <t>PL-07 - Painting / metallising of plastic parts</t>
  </si>
  <si>
    <t>PL-08 - Ultrasonic / vibration / hot-plate welding</t>
  </si>
  <si>
    <t>RB-01 - Rubber mixing / compounding</t>
  </si>
  <si>
    <t>RB-02 - Calendering &amp; extrusion (rubber)</t>
  </si>
  <si>
    <t>RB-03 - Moulding (compression / transfer / injection)</t>
  </si>
  <si>
    <t>RB-04 - Vulcanisation / curing (autoclave, salt bath, ovens)</t>
  </si>
  <si>
    <t>RB-05 - Rubber-to-metal bonding</t>
  </si>
  <si>
    <t>RB-06 - Hose braiding &amp; assembly</t>
  </si>
  <si>
    <t>EE-01 - Wiring harness manufacture</t>
  </si>
  <si>
    <t>EE-02 - PCB assembly (SMT + wave/selective solder)</t>
  </si>
  <si>
    <t>EE-03 - Motor winding &amp; varnishing</t>
  </si>
  <si>
    <t>EE-04 - EV battery module &amp; pack assembly</t>
  </si>
  <si>
    <t>EE-05 - Sensor / actuator / ECU assembly &amp; calibration</t>
  </si>
  <si>
    <t>EE-06 - Automotive lighting assembly</t>
  </si>
  <si>
    <t>EE-07 - Magnet &amp; rotor assembly (EV)</t>
  </si>
  <si>
    <t>FS-01 - Powder metallurgy — pressing &amp; sintering</t>
  </si>
  <si>
    <t>FS-02 - Brake pad / lining manufacture</t>
  </si>
  <si>
    <t>FS-03 - Clutch facing &amp; disc manufacture</t>
  </si>
  <si>
    <t>FS-04 - Composite moulding (SMC / GMT / CFRP)</t>
  </si>
  <si>
    <t>GT-01 - Auto glass processing</t>
  </si>
  <si>
    <t>GT-02 - Seat manufacture</t>
  </si>
  <si>
    <t>GT-03 - Interior trim &amp; dashboard manufacture</t>
  </si>
  <si>
    <t>GT-04 - Textile / leather cutting &amp; stitching</t>
  </si>
  <si>
    <t>AT-01 - Sub-assembly &amp; module assembly lines</t>
  </si>
  <si>
    <t>AT-02 - Leak &amp; pressure testing</t>
  </si>
  <si>
    <t>AT-03 - End-of-line functional &amp; dynamometer testing</t>
  </si>
  <si>
    <t>AT-05 - Torque &amp; fastening systems</t>
  </si>
  <si>
    <t>UT-01 - Compressed air systems</t>
  </si>
  <si>
    <t>UT-02 - Boilers / thermic fluid heaters</t>
  </si>
  <si>
    <t>UT-03 - Diesel generator (DG) sets</t>
  </si>
  <si>
    <t>UT-04 - Chillers, cooling towers &amp; HVAC</t>
  </si>
  <si>
    <t>UT-05 - Effluent &amp; sewage treatment (ETP / STP / ZLD)</t>
  </si>
  <si>
    <t>UT-06 - Material handling (forklifts, tow trucks, cranes)</t>
  </si>
  <si>
    <t>UT-07 - Lighting, office &amp; canteen loads</t>
  </si>
  <si>
    <t>UT-08 - On-site renewable generation (solar rooftop / open access)</t>
  </si>
  <si>
    <t>VC-01 - Purchased raw materials</t>
  </si>
  <si>
    <t>VC-03 - Packaging</t>
  </si>
  <si>
    <t>VC-04 - Employee commuting &amp; business travel</t>
  </si>
  <si>
    <t>VC-05 - Waste disposal &amp; recycling</t>
  </si>
  <si>
    <t>VC-06 - Use phase &amp; end-of-life of sold products</t>
  </si>
  <si>
    <t>7.  Four sector reference tabs support auto-ancillary engagements: 'Auto Ancillary Activities' catalogues every major process in the sector with emission scopes; 'Emission Factors (India)' holds Indian default emission factors (CEA grid EF, fuels, materials, transport) plus a quick Scope 1+2 estimator; 'Process Flow Diagrams' maps typical process routes with emission hotspots; 'Custom Process Flow' lets you assemble the client's own route step-by-step from dropdowns, auto-tagging scopes, EF codes and decarbonisation levers.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</si>
</sst>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0;\(#,##0\);\-"/>
    <numFmt numFmtId="167" formatCode="0.0"/>
    <numFmt numFmtId="168" formatCode="0.00\x"/>
    <numFmt numFmtId="169" formatCode="0.0000"/>
    <numFmt numFmtId="170" formatCode="0.000"/>
  </numFmts>
  <fonts count="49"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b/>
      <sz val="26"/>
      <color rgb="FF173F5F"/>
      <name val="Calibri"/>
      <charset val="1"/>
    </font>
    <font>
      <b/>
      <sz val="16"/>
      <color rgb="FF1AAEE0"/>
      <name val="Calibri"/>
      <charset val="1"/>
    </font>
    <font>
      <sz val="12"/>
      <color rgb="FF333333"/>
      <name val="Calibri"/>
      <charset val="1"/>
    </font>
    <font>
      <i/>
      <sz val="11"/>
      <color rgb="FF555555"/>
      <name val="Calibri"/>
      <charset val="1"/>
    </font>
    <font>
      <i/>
      <sz val="10"/>
      <color rgb="FF777777"/>
      <name val="Calibri"/>
      <charset val="1"/>
    </font>
    <font>
      <b/>
      <sz val="11"/>
      <color rgb="FFFFFFFF"/>
      <name val="Calibri"/>
      <charset val="1"/>
    </font>
    <font>
      <sz val="10.5"/>
      <color rgb="FF222222"/>
      <name val="Calibri"/>
      <charset val="1"/>
    </font>
    <font>
      <b/>
      <sz val="11"/>
      <color rgb="FF0000FF"/>
      <name val="Calibri"/>
      <charset val="1"/>
    </font>
    <font>
      <b/>
      <sz val="11"/>
      <color rgb="FF000000"/>
      <name val="Calibri"/>
      <charset val="1"/>
    </font>
    <font>
      <b/>
      <sz val="11"/>
      <color rgb="FF008000"/>
      <name val="Calibri"/>
      <charset val="1"/>
    </font>
    <font>
      <i/>
      <sz val="9.5"/>
      <color rgb="FF666666"/>
      <name val="Calibri"/>
      <charset val="1"/>
    </font>
    <font>
      <b/>
      <sz val="14"/>
      <color rgb="FFFFFFFF"/>
      <name val="Calibri"/>
      <charset val="1"/>
    </font>
    <font>
      <sz val="10.5"/>
      <color rgb="FF0000FF"/>
      <name val="Calibri"/>
      <charset val="1"/>
    </font>
    <font>
      <sz val="10.5"/>
      <color rgb="FF008000"/>
      <name val="Calibri"/>
      <charset val="1"/>
    </font>
    <font>
      <i/>
      <sz val="9"/>
      <color rgb="FF666666"/>
      <name val="Calibri"/>
      <charset val="1"/>
    </font>
    <font>
      <b/>
      <sz val="10"/>
      <color rgb="FFFFFFFF"/>
      <name val="Calibri"/>
      <charset val="1"/>
    </font>
    <font>
      <sz val="10.5"/>
      <color rgb="FF000000"/>
      <name val="Calibri"/>
      <charset val="1"/>
    </font>
    <font>
      <i/>
      <sz val="10.5"/>
      <color rgb="FF222222"/>
      <name val="Calibri"/>
      <charset val="1"/>
    </font>
    <font>
      <b/>
      <sz val="10.5"/>
      <color rgb="FF222222"/>
      <name val="Calibri"/>
      <charset val="1"/>
    </font>
    <font>
      <b/>
      <sz val="10.5"/>
      <name val="Calibri"/>
      <charset val="1"/>
    </font>
    <font>
      <sz val="10"/>
      <name val="Arial"/>
      <family val="2"/>
    </font>
    <font>
      <b/>
      <sz val="10.5"/>
      <color rgb="FF0000FF"/>
      <name val="Calibri"/>
      <charset val="1"/>
    </font>
    <font>
      <sz val="10"/>
      <color rgb="FF222222"/>
      <name val="Calibri"/>
      <charset val="1"/>
    </font>
    <font>
      <sz val="9.5"/>
      <color rgb="FF444444"/>
      <name val="Calibri"/>
      <charset val="1"/>
    </font>
    <font>
      <b/>
      <sz val="14"/>
      <color rgb="FFFFFFFF"/>
      <name val="Calibri"/>
    </font>
    <font>
      <sz val="9"/>
      <color rgb="FF666666"/>
      <name val="Calibri"/>
    </font>
    <font>
      <b/>
      <sz val="10"/>
      <color rgb="FFFFFFFF"/>
      <name val="Calibri"/>
    </font>
    <font>
      <b/>
      <sz val="11"/>
      <color rgb="FFFFFFFF"/>
      <name val="Calibri"/>
    </font>
    <font>
      <sz val="10.5"/>
      <color rgb="FF222222"/>
      <name val="Calibri"/>
    </font>
    <font>
      <b/>
      <sz val="10.5"/>
      <color rgb="FF222222"/>
      <name val="Calibri"/>
    </font>
    <font>
      <sz val="9.5"/>
      <color rgb="FF444444"/>
      <name val="Calibri"/>
    </font>
    <font>
      <sz val="10.5"/>
      <color rgb="FF0000FF"/>
      <name val="Calibri"/>
    </font>
    <font>
      <sz val="10.5"/>
      <color rgb="FF008000"/>
      <name val="Calibri"/>
    </font>
    <font>
      <sz val="10.5"/>
      <color rgb="FF000000"/>
      <name val="Calibri"/>
    </font>
    <font>
      <b/>
      <sz val="10.5"/>
      <color rgb="FF000000"/>
      <name val="Calibri"/>
    </font>
    <font>
      <b/>
      <sz val="9.5"/>
      <color rgb="FF222222"/>
      <name val="Calibri"/>
    </font>
    <font>
      <sz val="8.5"/>
      <color rgb="FF666666"/>
      <name val="Calibri"/>
    </font>
    <font>
      <sz val="9.5"/>
      <color rgb="FF222222"/>
      <name val="Calibri"/>
    </font>
    <font>
      <b/>
      <sz val="14"/>
      <color rgb="FF173F5F"/>
      <name val="Calibri"/>
    </font>
    <font>
      <b/>
      <sz val="9"/>
      <color rgb="FF173F5F"/>
      <name val="Calibri"/>
    </font>
    <font>
      <b/>
      <sz val="10"/>
      <color rgb="FF0000FF"/>
      <name val="Calibri"/>
    </font>
    <font>
      <b/>
      <sz val="9"/>
      <color rgb="FF222222"/>
      <name val="Calibri"/>
    </font>
    <font>
      <sz val="8.5"/>
      <color rgb="FF444444"/>
      <name val="Calibri"/>
    </font>
    <font>
      <sz val="8.5"/>
      <color rgb="FF1F6E43"/>
      <name val="Calibri"/>
    </font>
    <font>
      <b/>
      <sz val="11"/>
      <color theme="1"/>
      <name val="Calibri"/>
      <family val="2"/>
      <scheme val="minor"/>
    </font>
  </fonts>
  <fills count="13">
    <fill>
      <patternFill patternType="none"/>
    </fill>
    <fill>
      <patternFill patternType="gray125"/>
    </fill>
    <fill>
      <patternFill patternType="solid">
        <fgColor rgb="FF1AAEE0"/>
        <bgColor rgb="FF00CCFF"/>
      </patternFill>
    </fill>
    <fill>
      <patternFill patternType="solid">
        <fgColor rgb="FF173F5F"/>
        <bgColor rgb="FF333333"/>
      </patternFill>
    </fill>
    <fill>
      <patternFill patternType="solid">
        <fgColor rgb="FFFFFDE7"/>
        <bgColor rgb="FFFFFFFF"/>
      </patternFill>
    </fill>
    <fill>
      <patternFill patternType="solid">
        <fgColor rgb="FFEDF6FC"/>
        <bgColor rgb="FFFFFFFF"/>
      </patternFill>
    </fill>
    <fill>
      <patternFill patternType="solid">
        <fgColor rgb="FFFFF3B0"/>
        <bgColor rgb="FFFFFDE7"/>
      </patternFill>
    </fill>
    <fill>
      <patternFill patternType="solid">
        <fgColor rgb="FF173F5F"/>
      </patternFill>
    </fill>
    <fill>
      <patternFill patternType="solid">
        <fgColor rgb="FF1AAEE0"/>
      </patternFill>
    </fill>
    <fill>
      <patternFill patternType="solid">
        <fgColor rgb="FFEDF6FC"/>
      </patternFill>
    </fill>
    <fill>
      <patternFill patternType="solid">
        <fgColor rgb="FFFFFDE7"/>
      </patternFill>
    </fill>
    <fill>
      <patternFill patternType="solid">
        <fgColor rgb="FFDCE9F5"/>
      </patternFill>
    </fill>
    <fill>
      <patternFill patternType="solid">
        <fgColor rgb="FFFDEBD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bottom style="thin">
        <color rgb="FFB0C4D8"/>
      </bottom>
      <diagonal/>
    </border>
    <border>
      <left style="thin">
        <color rgb="FFB0C4D8"/>
      </left>
      <right style="thin">
        <color rgb="FFB0C4D8"/>
      </right>
      <top style="thin">
        <color rgb="FFB0C4D8"/>
      </top>
      <bottom style="thin">
        <color rgb="FFB0C4D8"/>
      </bottom>
      <diagonal/>
    </border>
    <border>
      <left/>
      <right/>
      <top style="thin">
        <color rgb="FFB0C4D8"/>
      </top>
      <bottom style="thin">
        <color rgb="FFB0C4D8"/>
      </bottom>
      <diagonal/>
    </border>
  </borders>
  <cellStyleXfs count="3">
    <xf numFmtId="0" fontId="0" fillId="0" borderId="0"/>
    <xf numFmtId="0" fontId="3" fillId="0" borderId="0"/>
    <xf numFmtId="0" fontId="2" fillId="0" borderId="0"/>
  </cellStyleXfs>
  <cellXfs count="99">
    <xf numFmtId="0" fontId="0" fillId="0" borderId="0" xfId="0"/>
    <xf numFmtId="0" fontId="10" fillId="0" borderId="0" xfId="0" applyFont="1" applyAlignment="1">
      <alignment horizontal="left" vertical="center" wrapText="1"/>
    </xf>
    <xf numFmtId="0" fontId="11" fillId="0" borderId="0" xfId="0" applyFont="1"/>
    <xf numFmtId="0" fontId="12" fillId="0" borderId="0" xfId="0" applyFont="1"/>
    <xf numFmtId="0" fontId="13" fillId="0" borderId="0" xfId="0" applyFont="1"/>
    <xf numFmtId="0" fontId="16" fillId="4" borderId="1" xfId="0" applyFont="1" applyFill="1" applyBorder="1" applyAlignment="1">
      <alignment horizontal="center" vertical="center"/>
    </xf>
    <xf numFmtId="164" fontId="16" fillId="4" borderId="1" xfId="0" applyNumberFormat="1" applyFont="1" applyFill="1" applyBorder="1" applyAlignment="1">
      <alignment horizontal="center" vertical="center"/>
    </xf>
    <xf numFmtId="165" fontId="16" fillId="4" borderId="1" xfId="0" applyNumberFormat="1" applyFont="1" applyFill="1" applyBorder="1" applyAlignment="1">
      <alignment horizontal="center" vertical="center"/>
    </xf>
    <xf numFmtId="3" fontId="16" fillId="4" borderId="1" xfId="0" applyNumberFormat="1" applyFont="1" applyFill="1" applyBorder="1" applyAlignment="1">
      <alignment horizontal="center" vertical="center"/>
    </xf>
    <xf numFmtId="166" fontId="16" fillId="4" borderId="1" xfId="0" applyNumberFormat="1" applyFont="1" applyFill="1" applyBorder="1" applyAlignment="1">
      <alignment horizontal="center" vertical="center"/>
    </xf>
    <xf numFmtId="164" fontId="17" fillId="0" borderId="1" xfId="0" applyNumberFormat="1" applyFont="1" applyBorder="1" applyAlignment="1">
      <alignment horizontal="center" vertical="center"/>
    </xf>
    <xf numFmtId="4" fontId="16" fillId="4" borderId="1"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10" fillId="5" borderId="1" xfId="0" applyFont="1" applyFill="1" applyBorder="1" applyAlignment="1">
      <alignment horizontal="center" vertical="center"/>
    </xf>
    <xf numFmtId="164" fontId="10" fillId="5" borderId="1" xfId="0" applyNumberFormat="1" applyFont="1" applyFill="1" applyBorder="1" applyAlignment="1">
      <alignment horizontal="center" vertical="center"/>
    </xf>
    <xf numFmtId="0" fontId="10" fillId="5" borderId="1" xfId="0" applyFont="1" applyFill="1" applyBorder="1" applyAlignment="1">
      <alignment horizontal="left" vertical="center" wrapText="1"/>
    </xf>
    <xf numFmtId="0" fontId="10" fillId="0" borderId="1" xfId="0" applyFont="1" applyBorder="1" applyAlignment="1">
      <alignment horizontal="center" vertical="center"/>
    </xf>
    <xf numFmtId="164" fontId="10" fillId="0" borderId="1" xfId="0" applyNumberFormat="1" applyFont="1" applyBorder="1" applyAlignment="1">
      <alignment horizontal="center" vertical="center"/>
    </xf>
    <xf numFmtId="0" fontId="10" fillId="0" borderId="1" xfId="0" applyFont="1" applyBorder="1" applyAlignment="1">
      <alignment horizontal="left" vertical="center" wrapText="1"/>
    </xf>
    <xf numFmtId="164" fontId="20" fillId="0" borderId="1" xfId="0" applyNumberFormat="1" applyFont="1" applyBorder="1" applyAlignment="1">
      <alignment horizontal="center" vertical="center"/>
    </xf>
    <xf numFmtId="0" fontId="21" fillId="0" borderId="0" xfId="0" applyFont="1" applyAlignment="1">
      <alignment horizontal="left" vertical="center" wrapText="1"/>
    </xf>
    <xf numFmtId="166" fontId="20" fillId="0" borderId="1" xfId="0" applyNumberFormat="1" applyFont="1" applyBorder="1" applyAlignment="1">
      <alignment horizontal="center" vertical="center"/>
    </xf>
    <xf numFmtId="0" fontId="22" fillId="0" borderId="0" xfId="0" applyFont="1" applyAlignment="1">
      <alignment horizontal="left" vertical="center" wrapText="1"/>
    </xf>
    <xf numFmtId="164" fontId="23" fillId="0" borderId="1" xfId="0" applyNumberFormat="1" applyFont="1" applyBorder="1" applyAlignment="1">
      <alignment horizontal="center" vertical="center"/>
    </xf>
    <xf numFmtId="164" fontId="23" fillId="5" borderId="1" xfId="0" applyNumberFormat="1" applyFont="1" applyFill="1" applyBorder="1" applyAlignment="1">
      <alignment horizontal="center" vertical="center"/>
    </xf>
    <xf numFmtId="0" fontId="19" fillId="3" borderId="1" xfId="0" applyFont="1" applyFill="1" applyBorder="1"/>
    <xf numFmtId="0" fontId="19" fillId="3" borderId="1" xfId="0" applyFont="1" applyFill="1" applyBorder="1" applyAlignment="1">
      <alignment horizontal="center" wrapText="1"/>
    </xf>
    <xf numFmtId="165" fontId="20" fillId="0" borderId="1" xfId="0" applyNumberFormat="1" applyFont="1" applyBorder="1" applyAlignment="1">
      <alignment horizontal="center" vertical="center"/>
    </xf>
    <xf numFmtId="167" fontId="20" fillId="0" borderId="1" xfId="0" applyNumberFormat="1" applyFont="1" applyBorder="1" applyAlignment="1">
      <alignment horizontal="center" vertical="center"/>
    </xf>
    <xf numFmtId="168" fontId="16" fillId="4" borderId="1" xfId="0" applyNumberFormat="1" applyFont="1" applyFill="1" applyBorder="1" applyAlignment="1">
      <alignment horizontal="center" vertical="center"/>
    </xf>
    <xf numFmtId="165" fontId="25" fillId="4" borderId="1" xfId="0" applyNumberFormat="1" applyFont="1" applyFill="1" applyBorder="1" applyAlignment="1">
      <alignment horizontal="center" vertical="center"/>
    </xf>
    <xf numFmtId="165" fontId="20" fillId="6" borderId="1" xfId="0" applyNumberFormat="1" applyFont="1" applyFill="1" applyBorder="1" applyAlignment="1">
      <alignment horizontal="center" vertical="center"/>
    </xf>
    <xf numFmtId="0" fontId="10" fillId="5" borderId="0" xfId="0" applyFont="1" applyFill="1" applyAlignment="1">
      <alignment horizontal="left" vertical="center" wrapText="1"/>
    </xf>
    <xf numFmtId="0" fontId="26" fillId="5" borderId="1" xfId="0" applyFont="1" applyFill="1" applyBorder="1" applyAlignment="1">
      <alignment horizontal="center" vertical="center" wrapText="1"/>
    </xf>
    <xf numFmtId="0" fontId="27" fillId="5" borderId="1" xfId="0" applyFont="1" applyFill="1" applyBorder="1" applyAlignment="1">
      <alignment horizontal="left" vertical="top" wrapText="1"/>
    </xf>
    <xf numFmtId="0" fontId="26" fillId="0" borderId="1" xfId="0" applyFont="1" applyBorder="1" applyAlignment="1">
      <alignment horizontal="center" vertical="center" wrapText="1"/>
    </xf>
    <xf numFmtId="0" fontId="27" fillId="0" borderId="1" xfId="0" applyFont="1" applyBorder="1" applyAlignment="1">
      <alignment horizontal="left" vertical="top" wrapText="1"/>
    </xf>
    <xf numFmtId="0" fontId="28" fillId="7" borderId="0" xfId="1" applyFont="1" applyFill="1"/>
    <xf numFmtId="0" fontId="3" fillId="7" borderId="0" xfId="1" applyFill="1"/>
    <xf numFmtId="0" fontId="3" fillId="0" borderId="0" xfId="1"/>
    <xf numFmtId="0" fontId="30" fillId="7" borderId="2" xfId="1" applyFont="1" applyFill="1" applyBorder="1" applyAlignment="1">
      <alignment vertical="top" wrapText="1"/>
    </xf>
    <xf numFmtId="0" fontId="31" fillId="8" borderId="0" xfId="1" applyFont="1" applyFill="1"/>
    <xf numFmtId="0" fontId="3" fillId="8" borderId="0" xfId="1" applyFill="1"/>
    <xf numFmtId="0" fontId="32" fillId="9" borderId="3" xfId="1" applyFont="1" applyFill="1" applyBorder="1"/>
    <xf numFmtId="0" fontId="33" fillId="9" borderId="3" xfId="1" applyFont="1" applyFill="1" applyBorder="1" applyAlignment="1">
      <alignment vertical="top" wrapText="1"/>
    </xf>
    <xf numFmtId="0" fontId="32" fillId="9" borderId="3" xfId="1" applyFont="1" applyFill="1" applyBorder="1" applyAlignment="1">
      <alignment vertical="top" wrapText="1"/>
    </xf>
    <xf numFmtId="0" fontId="34" fillId="9" borderId="3" xfId="1" applyFont="1" applyFill="1" applyBorder="1" applyAlignment="1">
      <alignment vertical="top" wrapText="1"/>
    </xf>
    <xf numFmtId="0" fontId="32" fillId="9" borderId="3" xfId="1" applyFont="1" applyFill="1" applyBorder="1" applyAlignment="1">
      <alignment horizontal="center" vertical="center" wrapText="1"/>
    </xf>
    <xf numFmtId="169" fontId="35" fillId="10" borderId="3" xfId="1" applyNumberFormat="1" applyFont="1" applyFill="1" applyBorder="1" applyAlignment="1">
      <alignment horizontal="center" vertical="top"/>
    </xf>
    <xf numFmtId="2" fontId="35" fillId="10" borderId="3" xfId="1" applyNumberFormat="1" applyFont="1" applyFill="1" applyBorder="1" applyAlignment="1">
      <alignment horizontal="center" vertical="top"/>
    </xf>
    <xf numFmtId="3" fontId="35" fillId="10" borderId="3" xfId="1" applyNumberFormat="1" applyFont="1" applyFill="1" applyBorder="1" applyAlignment="1">
      <alignment horizontal="center" vertical="top"/>
    </xf>
    <xf numFmtId="170" fontId="35" fillId="10" borderId="3" xfId="1" applyNumberFormat="1" applyFont="1" applyFill="1" applyBorder="1" applyAlignment="1">
      <alignment horizontal="center" vertical="top"/>
    </xf>
    <xf numFmtId="0" fontId="32" fillId="0" borderId="0" xfId="1" applyFont="1"/>
    <xf numFmtId="3" fontId="35" fillId="10" borderId="2" xfId="1" applyNumberFormat="1" applyFont="1" applyFill="1" applyBorder="1" applyAlignment="1">
      <alignment horizontal="center"/>
    </xf>
    <xf numFmtId="170" fontId="36" fillId="0" borderId="0" xfId="1" applyNumberFormat="1" applyFont="1" applyAlignment="1">
      <alignment horizontal="center"/>
    </xf>
    <xf numFmtId="0" fontId="29" fillId="0" borderId="0" xfId="1" applyFont="1"/>
    <xf numFmtId="0" fontId="32" fillId="0" borderId="0" xfId="1" applyFont="1" applyAlignment="1">
      <alignment horizontal="center" vertical="center"/>
    </xf>
    <xf numFmtId="164" fontId="37" fillId="0" borderId="2" xfId="1" applyNumberFormat="1" applyFont="1" applyBorder="1"/>
    <xf numFmtId="3" fontId="36" fillId="0" borderId="0" xfId="1" applyNumberFormat="1" applyFont="1" applyAlignment="1">
      <alignment horizontal="center"/>
    </xf>
    <xf numFmtId="0" fontId="33" fillId="0" borderId="0" xfId="1" applyFont="1"/>
    <xf numFmtId="164" fontId="38" fillId="0" borderId="4" xfId="1" applyNumberFormat="1" applyFont="1" applyBorder="1"/>
    <xf numFmtId="164" fontId="36" fillId="0" borderId="2" xfId="1" applyNumberFormat="1" applyFont="1" applyBorder="1"/>
    <xf numFmtId="0" fontId="39" fillId="11" borderId="3" xfId="1" applyFont="1" applyFill="1" applyBorder="1" applyAlignment="1">
      <alignment horizontal="center" vertical="center" wrapText="1"/>
    </xf>
    <xf numFmtId="0" fontId="39" fillId="12" borderId="3" xfId="1" applyFont="1" applyFill="1" applyBorder="1" applyAlignment="1">
      <alignment horizontal="center" vertical="center" wrapText="1"/>
    </xf>
    <xf numFmtId="0" fontId="40" fillId="0" borderId="0" xfId="1" applyFont="1" applyAlignment="1">
      <alignment horizontal="center" vertical="center" wrapText="1"/>
    </xf>
    <xf numFmtId="0" fontId="41" fillId="12" borderId="3" xfId="1" applyFont="1" applyFill="1" applyBorder="1" applyAlignment="1">
      <alignment horizontal="center" vertical="center" wrapText="1"/>
    </xf>
    <xf numFmtId="0" fontId="42" fillId="0" borderId="0" xfId="1" applyFont="1" applyAlignment="1">
      <alignment horizontal="center" vertical="center"/>
    </xf>
    <xf numFmtId="0" fontId="40" fillId="0" borderId="0" xfId="1" applyFont="1" applyAlignment="1">
      <alignment horizontal="center" vertical="top" wrapText="1"/>
    </xf>
    <xf numFmtId="0" fontId="28" fillId="7" borderId="0" xfId="2" applyFont="1" applyFill="1"/>
    <xf numFmtId="0" fontId="2" fillId="7" borderId="0" xfId="2" applyFill="1"/>
    <xf numFmtId="0" fontId="2" fillId="0" borderId="0" xfId="2"/>
    <xf numFmtId="0" fontId="43" fillId="0" borderId="0" xfId="2" applyFont="1"/>
    <xf numFmtId="0" fontId="44" fillId="10" borderId="3" xfId="2" applyFont="1" applyFill="1" applyBorder="1" applyAlignment="1">
      <alignment horizontal="center" vertical="center" wrapText="1"/>
    </xf>
    <xf numFmtId="0" fontId="42" fillId="0" borderId="0" xfId="2" applyFont="1" applyAlignment="1">
      <alignment horizontal="center" vertical="center"/>
    </xf>
    <xf numFmtId="0" fontId="45" fillId="9" borderId="3" xfId="2" applyFont="1" applyFill="1" applyBorder="1" applyAlignment="1">
      <alignment horizontal="center" vertical="center" wrapText="1"/>
    </xf>
    <xf numFmtId="0" fontId="46" fillId="9" borderId="3" xfId="2" applyFont="1" applyFill="1" applyBorder="1" applyAlignment="1">
      <alignment vertical="top" wrapText="1"/>
    </xf>
    <xf numFmtId="0" fontId="47" fillId="9" borderId="3" xfId="2" applyFont="1" applyFill="1" applyBorder="1" applyAlignment="1">
      <alignment vertical="top" wrapText="1"/>
    </xf>
    <xf numFmtId="0" fontId="43" fillId="0" borderId="0" xfId="2" applyFont="1" applyAlignment="1">
      <alignment horizontal="right"/>
    </xf>
    <xf numFmtId="0" fontId="31" fillId="8" borderId="0" xfId="2" applyFont="1" applyFill="1"/>
    <xf numFmtId="0" fontId="2" fillId="8" borderId="0" xfId="2" applyFill="1"/>
    <xf numFmtId="0" fontId="32" fillId="0" borderId="0" xfId="2" applyFont="1"/>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9" fillId="2" borderId="0" xfId="0" applyFont="1" applyFill="1" applyAlignment="1">
      <alignment horizontal="left" vertical="center" indent="1"/>
    </xf>
    <xf numFmtId="0" fontId="10" fillId="0" borderId="0" xfId="0" applyFont="1" applyAlignment="1">
      <alignment horizontal="left" vertical="center" wrapText="1"/>
    </xf>
    <xf numFmtId="0" fontId="14" fillId="0" borderId="0" xfId="0" applyFont="1"/>
    <xf numFmtId="0" fontId="15" fillId="3" borderId="0" xfId="0" applyFont="1" applyFill="1" applyAlignment="1">
      <alignment horizontal="left" vertical="center" indent="1"/>
    </xf>
    <xf numFmtId="0" fontId="18" fillId="0" borderId="0" xfId="0" applyFont="1" applyAlignment="1">
      <alignment vertical="top" wrapText="1"/>
    </xf>
    <xf numFmtId="0" fontId="29" fillId="0" borderId="0" xfId="1" applyFont="1" applyAlignment="1">
      <alignment vertical="top" wrapText="1"/>
    </xf>
    <xf numFmtId="0" fontId="3" fillId="0" borderId="0" xfId="1"/>
    <xf numFmtId="0" fontId="29" fillId="0" borderId="0" xfId="2" applyFont="1" applyAlignment="1">
      <alignment vertical="top" wrapText="1"/>
    </xf>
    <xf numFmtId="0" fontId="2" fillId="0" borderId="0" xfId="2"/>
    <xf numFmtId="0" fontId="18" fillId="0" borderId="0" xfId="0" applyFont="1"/>
    <xf numFmtId="0" fontId="14" fillId="0" borderId="0" xfId="0" applyFont="1" applyAlignment="1">
      <alignment vertical="top" wrapText="1"/>
    </xf>
    <xf numFmtId="0" fontId="48" fillId="0" borderId="0" xfId="2" applyFont="1" applyAlignment="1">
      <alignment horizontal="center"/>
    </xf>
    <xf numFmtId="0" fontId="1" fillId="0" borderId="0" xfId="2" applyFont="1" applyAlignment="1">
      <alignment horizontal="center"/>
    </xf>
  </cellXfs>
  <cellStyles count="3">
    <cellStyle name="Normal" xfId="0" builtinId="0"/>
    <cellStyle name="Normal 2" xfId="1" xr:uid="{F794A7DF-3DDB-4ADB-BA8C-A7BDAEFCDF82}"/>
    <cellStyle name="Normal 3" xfId="2" xr:uid="{0A5537C0-F898-44A1-ACB8-538006386E5E}"/>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BFBFBF"/>
      <rgbColor rgb="FF878787"/>
      <rgbColor rgb="FF9999FF"/>
      <rgbColor rgb="FFBE4B48"/>
      <rgbColor rgb="FFFFFDE7"/>
      <rgbColor rgb="FFEDF6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3B0"/>
      <rgbColor rgb="FF99CCFF"/>
      <rgbColor rgb="FFFF99CC"/>
      <rgbColor rgb="FFCC99FF"/>
      <rgbColor rgb="FFFFCC99"/>
      <rgbColor rgb="FF4A7EBB"/>
      <rgbColor rgb="FF1AAEE0"/>
      <rgbColor rgb="FF9BBB59"/>
      <rgbColor rgb="FFFFCC00"/>
      <rgbColor rgb="FFFF9900"/>
      <rgbColor rgb="FFFF6600"/>
      <rgbColor rgb="FF8064A2"/>
      <rgbColor rgb="FF777777"/>
      <rgbColor rgb="FF173F5F"/>
      <rgbColor rgb="FF4F81BD"/>
      <rgbColor rgb="FF003300"/>
      <rgbColor rgb="FF222222"/>
      <rgbColor rgb="FF555555"/>
      <rgbColor rgb="FFC0504D"/>
      <rgbColor rgb="FF44444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Investment vs. Hard Benefits by Year (Rs Lakh)</a:t>
            </a:r>
          </a:p>
        </c:rich>
      </c:tx>
      <c:overlay val="0"/>
      <c:spPr>
        <a:noFill/>
        <a:ln w="0">
          <a:noFill/>
        </a:ln>
      </c:spPr>
    </c:title>
    <c:autoTitleDeleted val="0"/>
    <c:plotArea>
      <c:layout/>
      <c:barChart>
        <c:barDir val="col"/>
        <c:grouping val="clustered"/>
        <c:varyColors val="0"/>
        <c:ser>
          <c:idx val="0"/>
          <c:order val="0"/>
          <c:tx>
            <c:strRef>
              <c:f>'ROI Summary'!$A$4</c:f>
              <c:strCache>
                <c:ptCount val="1"/>
                <c:pt idx="0">
                  <c:v>Total Investment (Rs Lakh)</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'ROI Summary'!$B$3:$F$3</c:f>
              <c:strCache>
                <c:ptCount val="5"/>
                <c:pt idx="0">
                  <c:v>Year 1</c:v>
                </c:pt>
                <c:pt idx="1">
                  <c:v>Year 2</c:v>
                </c:pt>
                <c:pt idx="2">
                  <c:v>Year 3</c:v>
                </c:pt>
                <c:pt idx="3">
                  <c:v>Year 4</c:v>
                </c:pt>
                <c:pt idx="4">
                  <c:v>Year 5</c:v>
                </c:pt>
              </c:strCache>
            </c:strRef>
          </c:cat>
          <c:val>
            <c:numRef>
              <c:f>'ROI Summary'!$B$4:$F$4</c:f>
              <c:numCache>
                <c:formatCode>#,##0.0;\(#,##0.0\);\-</c:formatCode>
                <c:ptCount val="5"/>
                <c:pt idx="0">
                  <c:v>13.5</c:v>
                </c:pt>
                <c:pt idx="1">
                  <c:v>11.55</c:v>
                </c:pt>
                <c:pt idx="2">
                  <c:v>12.127500000000001</c:v>
                </c:pt>
                <c:pt idx="3">
                  <c:v>12.733875000000001</c:v>
                </c:pt>
                <c:pt idx="4">
                  <c:v>13.370568750000002</c:v>
                </c:pt>
              </c:numCache>
            </c:numRef>
          </c:val>
          <c:extLst>
            <c:ext xmlns:c16="http://schemas.microsoft.com/office/drawing/2014/chart" uri="{C3380CC4-5D6E-409C-BE32-E72D297353CC}">
              <c16:uniqueId val="{00000000-775E-43D0-AC57-72452A7CA965}"/>
            </c:ext>
          </c:extLst>
        </c:ser>
        <c:ser>
          <c:idx val="1"/>
          <c:order val="1"/>
          <c:tx>
            <c:strRef>
              <c:f>'ROI Summary'!$A$5</c:f>
              <c:strCache>
                <c:ptCount val="1"/>
                <c:pt idx="0">
                  <c:v>Total Benefits — Hard (Rs Lakh)</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'ROI Summary'!$B$3:$F$3</c:f>
              <c:strCache>
                <c:ptCount val="5"/>
                <c:pt idx="0">
                  <c:v>Year 1</c:v>
                </c:pt>
                <c:pt idx="1">
                  <c:v>Year 2</c:v>
                </c:pt>
                <c:pt idx="2">
                  <c:v>Year 3</c:v>
                </c:pt>
                <c:pt idx="3">
                  <c:v>Year 4</c:v>
                </c:pt>
                <c:pt idx="4">
                  <c:v>Year 5</c:v>
                </c:pt>
              </c:strCache>
            </c:strRef>
          </c:cat>
          <c:val>
            <c:numRef>
              <c:f>'ROI Summary'!$B$5:$F$5</c:f>
              <c:numCache>
                <c:formatCode>#,##0.0;\(#,##0.0\);\-</c:formatCode>
                <c:ptCount val="5"/>
                <c:pt idx="0">
                  <c:v>99.445624999999993</c:v>
                </c:pt>
                <c:pt idx="1">
                  <c:v>125.870075</c:v>
                </c:pt>
                <c:pt idx="2">
                  <c:v>148.10848099999998</c:v>
                </c:pt>
                <c:pt idx="3">
                  <c:v>152.68595948000001</c:v>
                </c:pt>
                <c:pt idx="4">
                  <c:v>157.6296362384</c:v>
                </c:pt>
              </c:numCache>
            </c:numRef>
          </c:val>
          <c:extLst>
            <c:ext xmlns:c16="http://schemas.microsoft.com/office/drawing/2014/chart" uri="{C3380CC4-5D6E-409C-BE32-E72D297353CC}">
              <c16:uniqueId val="{00000001-775E-43D0-AC57-72452A7CA965}"/>
            </c:ext>
          </c:extLst>
        </c:ser>
        <c:dLbls>
          <c:showLegendKey val="0"/>
          <c:showVal val="0"/>
          <c:showCatName val="0"/>
          <c:showSerName val="0"/>
          <c:showPercent val="0"/>
          <c:showBubbleSize val="0"/>
        </c:dLbls>
        <c:gapWidth val="150"/>
        <c:axId val="94503434"/>
        <c:axId val="58948977"/>
      </c:barChart>
      <c:catAx>
        <c:axId val="9450343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948977"/>
        <c:crosses val="autoZero"/>
        <c:auto val="1"/>
        <c:lblAlgn val="ctr"/>
        <c:lblOffset val="100"/>
        <c:noMultiLvlLbl val="0"/>
      </c:catAx>
      <c:valAx>
        <c:axId val="5894897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Rs Lakh</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50343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Cumulative Net Benefit — Hard vs. Incl. Risk (Rs Lakh)</a:t>
            </a:r>
          </a:p>
        </c:rich>
      </c:tx>
      <c:overlay val="0"/>
      <c:spPr>
        <a:noFill/>
        <a:ln w="0">
          <a:noFill/>
        </a:ln>
      </c:spPr>
    </c:title>
    <c:autoTitleDeleted val="0"/>
    <c:plotArea>
      <c:layout/>
      <c:lineChart>
        <c:grouping val="standard"/>
        <c:varyColors val="0"/>
        <c:ser>
          <c:idx val="0"/>
          <c:order val="0"/>
          <c:tx>
            <c:strRef>
              <c:f>'ROI Summary'!$A$7</c:f>
              <c:strCache>
                <c:ptCount val="1"/>
                <c:pt idx="0">
                  <c:v>Cumulative Net Benefit — Hard (Rs Lakh)</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'ROI Summary'!$B$3:$F$3</c:f>
              <c:strCache>
                <c:ptCount val="5"/>
                <c:pt idx="0">
                  <c:v>Year 1</c:v>
                </c:pt>
                <c:pt idx="1">
                  <c:v>Year 2</c:v>
                </c:pt>
                <c:pt idx="2">
                  <c:v>Year 3</c:v>
                </c:pt>
                <c:pt idx="3">
                  <c:v>Year 4</c:v>
                </c:pt>
                <c:pt idx="4">
                  <c:v>Year 5</c:v>
                </c:pt>
              </c:strCache>
            </c:strRef>
          </c:cat>
          <c:val>
            <c:numRef>
              <c:f>'ROI Summary'!$B$7:$F$7</c:f>
              <c:numCache>
                <c:formatCode>#,##0.0;\(#,##0.0\);\-</c:formatCode>
                <c:ptCount val="5"/>
                <c:pt idx="0">
                  <c:v>85.945624999999993</c:v>
                </c:pt>
                <c:pt idx="1">
                  <c:v>200.26569999999998</c:v>
                </c:pt>
                <c:pt idx="2">
                  <c:v>336.24668099999997</c:v>
                </c:pt>
                <c:pt idx="3">
                  <c:v>476.19876547999996</c:v>
                </c:pt>
                <c:pt idx="4">
                  <c:v>620.4578329684</c:v>
                </c:pt>
              </c:numCache>
            </c:numRef>
          </c:val>
          <c:smooth val="1"/>
          <c:extLst>
            <c:ext xmlns:c16="http://schemas.microsoft.com/office/drawing/2014/chart" uri="{C3380CC4-5D6E-409C-BE32-E72D297353CC}">
              <c16:uniqueId val="{00000000-95BA-4B98-9ABB-293427151863}"/>
            </c:ext>
          </c:extLst>
        </c:ser>
        <c:ser>
          <c:idx val="1"/>
          <c:order val="1"/>
          <c:tx>
            <c:strRef>
              <c:f>'ROI Summary'!$A$11</c:f>
              <c:strCache>
                <c:ptCount val="1"/>
                <c:pt idx="0">
                  <c:v>Cumulative Net Benefit Incl. Risk (Rs Lakh)</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'ROI Summary'!$B$3:$F$3</c:f>
              <c:strCache>
                <c:ptCount val="5"/>
                <c:pt idx="0">
                  <c:v>Year 1</c:v>
                </c:pt>
                <c:pt idx="1">
                  <c:v>Year 2</c:v>
                </c:pt>
                <c:pt idx="2">
                  <c:v>Year 3</c:v>
                </c:pt>
                <c:pt idx="3">
                  <c:v>Year 4</c:v>
                </c:pt>
                <c:pt idx="4">
                  <c:v>Year 5</c:v>
                </c:pt>
              </c:strCache>
            </c:strRef>
          </c:cat>
          <c:val>
            <c:numRef>
              <c:f>'ROI Summary'!$B$11:$F$11</c:f>
              <c:numCache>
                <c:formatCode>#,##0.0;\(#,##0.0\);\-</c:formatCode>
                <c:ptCount val="5"/>
                <c:pt idx="0">
                  <c:v>294.74562500000002</c:v>
                </c:pt>
                <c:pt idx="1">
                  <c:v>634.56970000000001</c:v>
                </c:pt>
                <c:pt idx="2">
                  <c:v>1014.095001</c:v>
                </c:pt>
                <c:pt idx="3">
                  <c:v>1417.0749510800001</c:v>
                </c:pt>
                <c:pt idx="4">
                  <c:v>1845.4041134164002</c:v>
                </c:pt>
              </c:numCache>
            </c:numRef>
          </c:val>
          <c:smooth val="1"/>
          <c:extLst>
            <c:ext xmlns:c16="http://schemas.microsoft.com/office/drawing/2014/chart" uri="{C3380CC4-5D6E-409C-BE32-E72D297353CC}">
              <c16:uniqueId val="{00000001-95BA-4B98-9ABB-293427151863}"/>
            </c:ext>
          </c:extLst>
        </c:ser>
        <c:dLbls>
          <c:showLegendKey val="0"/>
          <c:showVal val="0"/>
          <c:showCatName val="0"/>
          <c:showSerName val="0"/>
          <c:showPercent val="0"/>
          <c:showBubbleSize val="0"/>
        </c:dLbls>
        <c:hiLowLines>
          <c:spPr>
            <a:ln w="0">
              <a:noFill/>
            </a:ln>
          </c:spPr>
        </c:hiLowLines>
        <c:smooth val="0"/>
        <c:axId val="75917659"/>
        <c:axId val="93321402"/>
      </c:lineChart>
      <c:catAx>
        <c:axId val="7591765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321402"/>
        <c:crosses val="autoZero"/>
        <c:auto val="1"/>
        <c:lblAlgn val="ctr"/>
        <c:lblOffset val="100"/>
        <c:noMultiLvlLbl val="0"/>
      </c:catAx>
      <c:valAx>
        <c:axId val="9332140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Rs Lakh</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91765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5-Yr Benefit Composition (Hard Benefits)</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7B54-4CD7-99F3-293D1CA6A04A}"/>
              </c:ext>
            </c:extLst>
          </c:dPt>
          <c:dPt>
            <c:idx val="1"/>
            <c:bubble3D val="0"/>
            <c:spPr>
              <a:solidFill>
                <a:srgbClr val="C0504D"/>
              </a:solidFill>
              <a:ln w="0">
                <a:noFill/>
              </a:ln>
            </c:spPr>
            <c:extLst>
              <c:ext xmlns:c16="http://schemas.microsoft.com/office/drawing/2014/chart" uri="{C3380CC4-5D6E-409C-BE32-E72D297353CC}">
                <c16:uniqueId val="{00000003-7B54-4CD7-99F3-293D1CA6A04A}"/>
              </c:ext>
            </c:extLst>
          </c:dPt>
          <c:dPt>
            <c:idx val="2"/>
            <c:bubble3D val="0"/>
            <c:spPr>
              <a:solidFill>
                <a:srgbClr val="9BBB59"/>
              </a:solidFill>
              <a:ln w="0">
                <a:noFill/>
              </a:ln>
            </c:spPr>
            <c:extLst>
              <c:ext xmlns:c16="http://schemas.microsoft.com/office/drawing/2014/chart" uri="{C3380CC4-5D6E-409C-BE32-E72D297353CC}">
                <c16:uniqueId val="{00000005-7B54-4CD7-99F3-293D1CA6A04A}"/>
              </c:ext>
            </c:extLst>
          </c:dPt>
          <c:dPt>
            <c:idx val="3"/>
            <c:bubble3D val="0"/>
            <c:spPr>
              <a:solidFill>
                <a:srgbClr val="8064A2"/>
              </a:solidFill>
              <a:ln w="0">
                <a:noFill/>
              </a:ln>
            </c:spPr>
            <c:extLst>
              <c:ext xmlns:c16="http://schemas.microsoft.com/office/drawing/2014/chart" uri="{C3380CC4-5D6E-409C-BE32-E72D297353CC}">
                <c16:uniqueId val="{00000007-7B54-4CD7-99F3-293D1CA6A04A}"/>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B54-4CD7-99F3-293D1CA6A04A}"/>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B54-4CD7-99F3-293D1CA6A04A}"/>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B54-4CD7-99F3-293D1CA6A04A}"/>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7B54-4CD7-99F3-293D1CA6A04A}"/>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'ROI Summary'!$A$43:$A$46</c:f>
              <c:strCache>
                <c:ptCount val="4"/>
                <c:pt idx="0">
                  <c:v>CBAM Cost Avoidance</c:v>
                </c:pt>
                <c:pt idx="1">
                  <c:v>Avoided Consultant / Big-4 Fee</c:v>
                </c:pt>
                <c:pt idx="2">
                  <c:v>Staff Time Savings</c:v>
                </c:pt>
                <c:pt idx="3">
                  <c:v>Energy Efficiency Savings</c:v>
                </c:pt>
              </c:strCache>
            </c:strRef>
          </c:cat>
          <c:val>
            <c:numRef>
              <c:f>'ROI Summary'!$B$43:$B$46</c:f>
              <c:numCache>
                <c:formatCode>#,##0.0;\(#,##0.0\);\-</c:formatCode>
                <c:ptCount val="4"/>
                <c:pt idx="0">
                  <c:v>287.78977671839999</c:v>
                </c:pt>
                <c:pt idx="1">
                  <c:v>175</c:v>
                </c:pt>
                <c:pt idx="2">
                  <c:v>9.4499999999999993</c:v>
                </c:pt>
                <c:pt idx="3">
                  <c:v>211.5</c:v>
                </c:pt>
              </c:numCache>
            </c:numRef>
          </c:val>
          <c:extLst>
            <c:ext xmlns:c16="http://schemas.microsoft.com/office/drawing/2014/chart" uri="{C3380CC4-5D6E-409C-BE32-E72D297353CC}">
              <c16:uniqueId val="{00000008-7B54-4CD7-99F3-293D1CA6A04A}"/>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4</xdr:col>
      <xdr:colOff>128520</xdr:colOff>
      <xdr:row>37</xdr:row>
      <xdr:rowOff>11880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21</xdr:row>
      <xdr:rowOff>0</xdr:rowOff>
    </xdr:from>
    <xdr:to>
      <xdr:col>19</xdr:col>
      <xdr:colOff>4680</xdr:colOff>
      <xdr:row>37</xdr:row>
      <xdr:rowOff>11880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39</xdr:row>
      <xdr:rowOff>0</xdr:rowOff>
    </xdr:from>
    <xdr:to>
      <xdr:col>2</xdr:col>
      <xdr:colOff>160920</xdr:colOff>
      <xdr:row>55</xdr:row>
      <xdr:rowOff>11880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26"/>
  <sheetViews>
    <sheetView showGridLines="0" tabSelected="1" zoomScaleNormal="100" workbookViewId="0"/>
  </sheetViews>
  <sheetFormatPr defaultColWidth="8.6640625" defaultRowHeight="14.4" x14ac:dyDescent="0.3"/>
  <cols>
    <col min="1" max="1" width="3" customWidth="1"/>
    <col min="2" max="2" width="30" customWidth="1"/>
    <col min="3" max="7" width="18" customWidth="1"/>
  </cols>
  <sheetData>
    <row r="2" spans="1:7" ht="33.6" x14ac:dyDescent="0.65">
      <c r="A2" s="81" t="s">
        <v>0</v>
      </c>
      <c r="B2" s="81"/>
      <c r="C2" s="81"/>
      <c r="D2" s="81"/>
      <c r="E2" s="81"/>
      <c r="F2" s="81"/>
      <c r="G2" s="81"/>
    </row>
    <row r="3" spans="1:7" ht="24" customHeight="1" x14ac:dyDescent="0.4">
      <c r="A3" s="82" t="s">
        <v>1</v>
      </c>
      <c r="B3" s="82"/>
      <c r="C3" s="82"/>
      <c r="D3" s="82"/>
      <c r="E3" s="82"/>
      <c r="F3" s="82"/>
      <c r="G3" s="82"/>
    </row>
    <row r="5" spans="1:7" ht="15.6" x14ac:dyDescent="0.3">
      <c r="A5" s="83" t="str">
        <f>"Prepared for: " &amp; 'Client Inputs'!$B$4</f>
        <v>Prepared for: [Enter Client Company Name]</v>
      </c>
      <c r="B5" s="83"/>
      <c r="C5" s="83"/>
      <c r="D5" s="83"/>
      <c r="E5" s="83"/>
      <c r="F5" s="83"/>
      <c r="G5" s="83"/>
    </row>
    <row r="6" spans="1:7" x14ac:dyDescent="0.3">
      <c r="A6" s="84" t="s">
        <v>2</v>
      </c>
      <c r="B6" s="84"/>
      <c r="C6" s="84"/>
      <c r="D6" s="84"/>
      <c r="E6" s="84"/>
      <c r="F6" s="84"/>
      <c r="G6" s="84"/>
    </row>
    <row r="7" spans="1:7" x14ac:dyDescent="0.3">
      <c r="A7" s="85" t="s">
        <v>3</v>
      </c>
      <c r="B7" s="85"/>
      <c r="C7" s="85"/>
      <c r="D7" s="85"/>
      <c r="E7" s="85"/>
      <c r="F7" s="85"/>
      <c r="G7" s="85"/>
    </row>
    <row r="10" spans="1:7" ht="18" customHeight="1" x14ac:dyDescent="0.3">
      <c r="A10" s="86" t="s">
        <v>4</v>
      </c>
      <c r="B10" s="86"/>
      <c r="C10" s="86"/>
      <c r="D10" s="86"/>
      <c r="E10" s="86"/>
      <c r="F10" s="86"/>
      <c r="G10" s="86"/>
    </row>
    <row r="12" spans="1:7" ht="15.75" customHeight="1" x14ac:dyDescent="0.3">
      <c r="B12" s="87" t="s">
        <v>5</v>
      </c>
      <c r="C12" s="87"/>
      <c r="D12" s="87"/>
      <c r="E12" s="87"/>
      <c r="F12" s="87"/>
      <c r="G12" s="87"/>
    </row>
    <row r="13" spans="1:7" ht="15.75" customHeight="1" x14ac:dyDescent="0.3">
      <c r="B13" s="87" t="s">
        <v>6</v>
      </c>
      <c r="C13" s="87"/>
      <c r="D13" s="87"/>
      <c r="E13" s="87"/>
      <c r="F13" s="87"/>
      <c r="G13" s="87"/>
    </row>
    <row r="14" spans="1:7" ht="15.75" customHeight="1" x14ac:dyDescent="0.3">
      <c r="B14" s="87" t="s">
        <v>7</v>
      </c>
      <c r="C14" s="87"/>
      <c r="D14" s="87"/>
      <c r="E14" s="87"/>
      <c r="F14" s="87"/>
      <c r="G14" s="87"/>
    </row>
    <row r="15" spans="1:7" ht="15.75" customHeight="1" x14ac:dyDescent="0.3">
      <c r="B15" s="87" t="s">
        <v>8</v>
      </c>
      <c r="C15" s="87"/>
      <c r="D15" s="87"/>
      <c r="E15" s="87"/>
      <c r="F15" s="87"/>
      <c r="G15" s="87"/>
    </row>
    <row r="16" spans="1:7" ht="15.75" customHeight="1" x14ac:dyDescent="0.3">
      <c r="B16" s="87" t="s">
        <v>9</v>
      </c>
      <c r="C16" s="87"/>
      <c r="D16" s="87"/>
      <c r="E16" s="87"/>
      <c r="F16" s="87"/>
      <c r="G16" s="87"/>
    </row>
    <row r="17" spans="1:7" ht="15.75" customHeight="1" x14ac:dyDescent="0.3">
      <c r="B17" s="87" t="s">
        <v>10</v>
      </c>
      <c r="C17" s="87"/>
      <c r="D17" s="87"/>
      <c r="E17" s="87"/>
      <c r="F17" s="87"/>
      <c r="G17" s="87"/>
    </row>
    <row r="18" spans="1:7" ht="15.75" customHeight="1" x14ac:dyDescent="0.3">
      <c r="B18" s="87" t="s">
        <v>1300</v>
      </c>
      <c r="C18" s="87"/>
      <c r="D18" s="87"/>
      <c r="E18" s="87"/>
      <c r="F18" s="87"/>
      <c r="G18" s="87"/>
    </row>
    <row r="20" spans="1:7" ht="18" customHeight="1" x14ac:dyDescent="0.3">
      <c r="A20" s="86" t="s">
        <v>11</v>
      </c>
      <c r="B20" s="86"/>
      <c r="C20" s="86"/>
      <c r="D20" s="86"/>
      <c r="E20" s="86"/>
      <c r="F20" s="86"/>
      <c r="G20" s="86"/>
    </row>
    <row r="22" spans="1:7" ht="15" customHeight="1" x14ac:dyDescent="0.3">
      <c r="B22" s="2" t="s">
        <v>12</v>
      </c>
      <c r="C22" s="87" t="s">
        <v>13</v>
      </c>
      <c r="D22" s="87"/>
      <c r="E22" s="87"/>
      <c r="F22" s="87"/>
      <c r="G22" s="87"/>
    </row>
    <row r="23" spans="1:7" ht="15" customHeight="1" x14ac:dyDescent="0.3">
      <c r="B23" s="3" t="s">
        <v>12</v>
      </c>
      <c r="C23" s="87" t="s">
        <v>14</v>
      </c>
      <c r="D23" s="87"/>
      <c r="E23" s="87"/>
      <c r="F23" s="87"/>
      <c r="G23" s="87"/>
    </row>
    <row r="24" spans="1:7" ht="15" customHeight="1" x14ac:dyDescent="0.3">
      <c r="B24" s="4" t="s">
        <v>12</v>
      </c>
      <c r="C24" s="87" t="s">
        <v>15</v>
      </c>
      <c r="D24" s="87"/>
      <c r="E24" s="87"/>
      <c r="F24" s="87"/>
      <c r="G24" s="87"/>
    </row>
    <row r="26" spans="1:7" x14ac:dyDescent="0.3">
      <c r="B26" s="88" t="s">
        <v>16</v>
      </c>
      <c r="C26" s="88"/>
      <c r="D26" s="88"/>
      <c r="E26" s="88"/>
      <c r="F26" s="88"/>
      <c r="G26" s="88"/>
    </row>
  </sheetData>
  <mergeCells count="18">
    <mergeCell ref="C24:G24"/>
    <mergeCell ref="B26:G26"/>
    <mergeCell ref="B18:G18"/>
    <mergeCell ref="B16:G16"/>
    <mergeCell ref="B17:G17"/>
    <mergeCell ref="A20:G20"/>
    <mergeCell ref="C22:G22"/>
    <mergeCell ref="C23:G23"/>
    <mergeCell ref="A10:G10"/>
    <mergeCell ref="B12:G12"/>
    <mergeCell ref="B13:G13"/>
    <mergeCell ref="B14:G14"/>
    <mergeCell ref="B15:G15"/>
    <mergeCell ref="A2:G2"/>
    <mergeCell ref="A3:G3"/>
    <mergeCell ref="A5:G5"/>
    <mergeCell ref="A6:G6"/>
    <mergeCell ref="A7:G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
  <sheetViews>
    <sheetView showGridLines="0" zoomScaleNormal="100" workbookViewId="0"/>
  </sheetViews>
  <sheetFormatPr defaultColWidth="8.6640625" defaultRowHeight="14.4" x14ac:dyDescent="0.3"/>
  <cols>
    <col min="1" max="1" width="46" customWidth="1"/>
    <col min="2" max="2" width="20" customWidth="1"/>
    <col min="3" max="3" width="3" customWidth="1"/>
    <col min="4" max="4" width="60" customWidth="1"/>
  </cols>
  <sheetData>
    <row r="1" spans="1:2" ht="27.75" customHeight="1" x14ac:dyDescent="0.3">
      <c r="A1" s="89" t="s">
        <v>17</v>
      </c>
      <c r="B1" s="89"/>
    </row>
    <row r="3" spans="1:2" ht="18" customHeight="1" x14ac:dyDescent="0.3">
      <c r="A3" s="86" t="s">
        <v>18</v>
      </c>
      <c r="B3" s="86"/>
    </row>
    <row r="4" spans="1:2" x14ac:dyDescent="0.3">
      <c r="A4" s="1" t="s">
        <v>19</v>
      </c>
      <c r="B4" s="5" t="s">
        <v>20</v>
      </c>
    </row>
    <row r="5" spans="1:2" x14ac:dyDescent="0.3">
      <c r="A5" s="1" t="s">
        <v>21</v>
      </c>
      <c r="B5" s="5" t="s">
        <v>22</v>
      </c>
    </row>
    <row r="6" spans="1:2" x14ac:dyDescent="0.3">
      <c r="A6" s="1" t="s">
        <v>23</v>
      </c>
      <c r="B6" s="6">
        <v>250</v>
      </c>
    </row>
    <row r="7" spans="1:2" x14ac:dyDescent="0.3">
      <c r="A7" s="1" t="s">
        <v>24</v>
      </c>
      <c r="B7" s="7">
        <v>0.08</v>
      </c>
    </row>
    <row r="8" spans="1:2" x14ac:dyDescent="0.3">
      <c r="A8" s="1" t="s">
        <v>25</v>
      </c>
      <c r="B8" s="8">
        <v>3</v>
      </c>
    </row>
    <row r="9" spans="1:2" x14ac:dyDescent="0.3">
      <c r="A9" s="1" t="s">
        <v>26</v>
      </c>
      <c r="B9" s="6">
        <v>450</v>
      </c>
    </row>
    <row r="10" spans="1:2" x14ac:dyDescent="0.3">
      <c r="A10" s="1" t="s">
        <v>27</v>
      </c>
      <c r="B10" s="7">
        <v>0.18</v>
      </c>
    </row>
    <row r="11" spans="1:2" ht="28.8" x14ac:dyDescent="0.3">
      <c r="A11" s="1" t="s">
        <v>28</v>
      </c>
      <c r="B11" s="7">
        <v>0.4</v>
      </c>
    </row>
    <row r="12" spans="1:2" x14ac:dyDescent="0.3">
      <c r="A12" s="1" t="s">
        <v>29</v>
      </c>
      <c r="B12" s="5" t="s">
        <v>30</v>
      </c>
    </row>
    <row r="13" spans="1:2" ht="28.8" x14ac:dyDescent="0.3">
      <c r="A13" s="1" t="s">
        <v>31</v>
      </c>
      <c r="B13" s="9">
        <v>45</v>
      </c>
    </row>
    <row r="14" spans="1:2" x14ac:dyDescent="0.3">
      <c r="A14" s="1" t="s">
        <v>32</v>
      </c>
      <c r="B14" s="8">
        <v>4500</v>
      </c>
    </row>
    <row r="15" spans="1:2" ht="28.8" x14ac:dyDescent="0.3">
      <c r="A15" s="1" t="s">
        <v>33</v>
      </c>
      <c r="B15" s="8">
        <v>60</v>
      </c>
    </row>
    <row r="17" spans="1:2" ht="18" customHeight="1" x14ac:dyDescent="0.3">
      <c r="A17" s="86" t="s">
        <v>34</v>
      </c>
      <c r="B17" s="86"/>
    </row>
    <row r="18" spans="1:2" x14ac:dyDescent="0.3">
      <c r="A18" s="1" t="s">
        <v>35</v>
      </c>
      <c r="B18" s="5" t="s">
        <v>36</v>
      </c>
    </row>
    <row r="19" spans="1:2" x14ac:dyDescent="0.3">
      <c r="A19" s="1" t="s">
        <v>37</v>
      </c>
      <c r="B19" s="10">
        <f>VLOOKUP($B$18,'Pricing Tiers'!$A$4:$E$6,3,FALSE())</f>
        <v>8</v>
      </c>
    </row>
    <row r="20" spans="1:2" x14ac:dyDescent="0.3">
      <c r="A20" s="1" t="s">
        <v>38</v>
      </c>
      <c r="B20" s="10">
        <f>VLOOKUP($B$18,'Pricing Tiers'!$A$4:$E$6,4,FALSE())</f>
        <v>2.5</v>
      </c>
    </row>
    <row r="21" spans="1:2" ht="28.8" x14ac:dyDescent="0.3">
      <c r="A21" s="1" t="s">
        <v>39</v>
      </c>
      <c r="B21" s="10">
        <f>VLOOKUP($B$18,'Pricing Tiers'!$A$4:$E$6,5,FALSE())</f>
        <v>3</v>
      </c>
    </row>
    <row r="22" spans="1:2" x14ac:dyDescent="0.3">
      <c r="A22" s="1" t="s">
        <v>40</v>
      </c>
      <c r="B22" s="8">
        <v>5</v>
      </c>
    </row>
    <row r="23" spans="1:2" x14ac:dyDescent="0.3">
      <c r="A23" s="1" t="s">
        <v>41</v>
      </c>
      <c r="B23" s="7">
        <v>0.05</v>
      </c>
    </row>
    <row r="24" spans="1:2" ht="28.8" x14ac:dyDescent="0.3">
      <c r="A24" s="1" t="s">
        <v>42</v>
      </c>
      <c r="B24" s="7">
        <v>0.7</v>
      </c>
    </row>
    <row r="26" spans="1:2" ht="18" customHeight="1" x14ac:dyDescent="0.3">
      <c r="A26" s="86" t="s">
        <v>43</v>
      </c>
      <c r="B26" s="86"/>
    </row>
    <row r="27" spans="1:2" ht="43.5" customHeight="1" x14ac:dyDescent="0.3">
      <c r="A27" s="90" t="s">
        <v>44</v>
      </c>
      <c r="B27" s="90"/>
    </row>
    <row r="28" spans="1:2" x14ac:dyDescent="0.3">
      <c r="A28" s="1" t="s">
        <v>45</v>
      </c>
      <c r="B28" s="11">
        <v>85</v>
      </c>
    </row>
    <row r="29" spans="1:2" x14ac:dyDescent="0.3">
      <c r="A29" s="1" t="s">
        <v>46</v>
      </c>
      <c r="B29" s="11">
        <v>95</v>
      </c>
    </row>
    <row r="30" spans="1:2" x14ac:dyDescent="0.3">
      <c r="A30" s="1" t="s">
        <v>47</v>
      </c>
      <c r="B30" s="7">
        <v>0.3</v>
      </c>
    </row>
    <row r="31" spans="1:2" x14ac:dyDescent="0.3">
      <c r="A31" s="1" t="s">
        <v>48</v>
      </c>
      <c r="B31" s="7">
        <v>0.03</v>
      </c>
    </row>
    <row r="32" spans="1:2" x14ac:dyDescent="0.3">
      <c r="A32" s="1" t="s">
        <v>49</v>
      </c>
      <c r="B32" s="7">
        <v>0.08</v>
      </c>
    </row>
    <row r="33" spans="1:2" x14ac:dyDescent="0.3">
      <c r="A33" s="1" t="s">
        <v>50</v>
      </c>
      <c r="B33" s="7">
        <v>0.12</v>
      </c>
    </row>
    <row r="34" spans="1:2" ht="28.8" x14ac:dyDescent="0.3">
      <c r="A34" s="1" t="s">
        <v>51</v>
      </c>
      <c r="B34" s="6">
        <v>35</v>
      </c>
    </row>
    <row r="35" spans="1:2" ht="28.8" x14ac:dyDescent="0.3">
      <c r="A35" s="1" t="s">
        <v>52</v>
      </c>
      <c r="B35" s="7">
        <v>0.15</v>
      </c>
    </row>
    <row r="36" spans="1:2" x14ac:dyDescent="0.3">
      <c r="A36" s="1" t="s">
        <v>53</v>
      </c>
      <c r="B36" s="7">
        <v>0.8</v>
      </c>
    </row>
    <row r="37" spans="1:2" x14ac:dyDescent="0.3">
      <c r="A37" s="1" t="s">
        <v>54</v>
      </c>
      <c r="B37" s="7">
        <v>0.1</v>
      </c>
    </row>
    <row r="38" spans="1:2" ht="28.8" x14ac:dyDescent="0.3">
      <c r="A38" s="1" t="s">
        <v>55</v>
      </c>
      <c r="B38" s="7">
        <v>0.12</v>
      </c>
    </row>
  </sheetData>
  <mergeCells count="5">
    <mergeCell ref="A1:B1"/>
    <mergeCell ref="A3:B3"/>
    <mergeCell ref="A17:B17"/>
    <mergeCell ref="A26:B26"/>
    <mergeCell ref="A27:B27"/>
  </mergeCells>
  <dataValidations count="2">
    <dataValidation type="list" sqref="B12" xr:uid="{00000000-0002-0000-0100-000001000000}">
      <formula1>"No tracking,Manual spreadsheets,Partial digital tools,Advanced / Automated"</formula1>
      <formula2>0</formula2>
    </dataValidation>
    <dataValidation type="list" sqref="B18" xr:uid="{00000000-0002-0000-0100-000002000000}">
      <formula1>"Starter,Growth,Enterprise"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errorStyle="information" allowBlank="1" showInputMessage="1" showErrorMessage="1" promptTitle="Industry / Sector" prompt="Pick a sector segment (list maintained on the 'Auto Ancillary Activities' tab) or type your own." xr:uid="{E0D22EA0-6727-43BF-A7DF-B4B8304A06A4}">
          <x14:formula1>
            <xm:f>'Auto Ancillary Activities'!$J$4:$J$20</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showGridLines="0" zoomScaleNormal="100" workbookViewId="0"/>
  </sheetViews>
  <sheetFormatPr defaultColWidth="8.6640625" defaultRowHeight="14.4" x14ac:dyDescent="0.3"/>
  <cols>
    <col min="1" max="1" width="14" customWidth="1"/>
    <col min="2" max="4" width="20" customWidth="1"/>
    <col min="5" max="5" width="22" customWidth="1"/>
    <col min="6" max="6" width="55" customWidth="1"/>
  </cols>
  <sheetData>
    <row r="1" spans="1:6" ht="27.75" customHeight="1" x14ac:dyDescent="0.3">
      <c r="A1" s="89" t="s">
        <v>56</v>
      </c>
      <c r="B1" s="89"/>
      <c r="C1" s="89"/>
      <c r="D1" s="89"/>
      <c r="E1" s="89"/>
      <c r="F1" s="89"/>
    </row>
    <row r="3" spans="1:6" ht="30" customHeight="1" x14ac:dyDescent="0.3">
      <c r="A3" s="12" t="s">
        <v>57</v>
      </c>
      <c r="B3" s="12" t="s">
        <v>58</v>
      </c>
      <c r="C3" s="12" t="s">
        <v>59</v>
      </c>
      <c r="D3" s="12" t="s">
        <v>60</v>
      </c>
      <c r="E3" s="12" t="s">
        <v>61</v>
      </c>
      <c r="F3" s="12" t="s">
        <v>62</v>
      </c>
    </row>
    <row r="4" spans="1:6" ht="28.8" x14ac:dyDescent="0.3">
      <c r="A4" s="13" t="s">
        <v>63</v>
      </c>
      <c r="B4" s="13" t="s">
        <v>64</v>
      </c>
      <c r="C4" s="14">
        <v>3</v>
      </c>
      <c r="D4" s="14">
        <v>1</v>
      </c>
      <c r="E4" s="14">
        <v>1.5</v>
      </c>
      <c r="F4" s="15" t="s">
        <v>65</v>
      </c>
    </row>
    <row r="5" spans="1:6" ht="28.8" x14ac:dyDescent="0.3">
      <c r="A5" s="16" t="s">
        <v>36</v>
      </c>
      <c r="B5" s="16" t="s">
        <v>66</v>
      </c>
      <c r="C5" s="17">
        <v>8</v>
      </c>
      <c r="D5" s="17">
        <v>2.5</v>
      </c>
      <c r="E5" s="17">
        <v>3</v>
      </c>
      <c r="F5" s="18" t="s">
        <v>67</v>
      </c>
    </row>
    <row r="6" spans="1:6" ht="43.2" x14ac:dyDescent="0.3">
      <c r="A6" s="13" t="s">
        <v>68</v>
      </c>
      <c r="B6" s="13" t="s">
        <v>69</v>
      </c>
      <c r="C6" s="14">
        <v>18</v>
      </c>
      <c r="D6" s="14">
        <v>5</v>
      </c>
      <c r="E6" s="14">
        <v>6</v>
      </c>
      <c r="F6" s="15" t="s">
        <v>70</v>
      </c>
    </row>
    <row r="8" spans="1:6" ht="30" customHeight="1" x14ac:dyDescent="0.3">
      <c r="A8" s="90" t="s">
        <v>71</v>
      </c>
      <c r="B8" s="90"/>
      <c r="C8" s="90"/>
      <c r="D8" s="90"/>
      <c r="E8" s="90"/>
      <c r="F8" s="90"/>
    </row>
  </sheetData>
  <mergeCells count="2">
    <mergeCell ref="A1:F1"/>
    <mergeCell ref="A8:F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9BA5-EB0B-4ACF-9A53-A3FFE4887288}">
  <dimension ref="A1:J125"/>
  <sheetViews>
    <sheetView workbookViewId="0">
      <pane ySplit="3" topLeftCell="A4" activePane="bottomLeft" state="frozen"/>
      <selection pane="bottomLeft"/>
    </sheetView>
  </sheetViews>
  <sheetFormatPr defaultRowHeight="14.4" x14ac:dyDescent="0.3"/>
  <cols>
    <col min="1" max="1" width="8" style="39" customWidth="1"/>
    <col min="2" max="2" width="27" style="39" customWidth="1"/>
    <col min="3" max="3" width="44" style="39" customWidth="1"/>
    <col min="4" max="4" width="28" style="39" customWidth="1"/>
    <col min="5" max="5" width="32" style="39" customWidth="1"/>
    <col min="6" max="6" width="9" style="39" customWidth="1"/>
    <col min="7" max="7" width="15" style="39" customWidth="1"/>
    <col min="8" max="8" width="38" style="39" customWidth="1"/>
    <col min="9" max="9" width="3" style="39" customWidth="1"/>
    <col min="10" max="10" width="42" style="39" customWidth="1"/>
    <col min="11" max="16384" width="8.88671875" style="39"/>
  </cols>
  <sheetData>
    <row r="1" spans="1:10" ht="22.05" customHeight="1" x14ac:dyDescent="0.35">
      <c r="A1" s="37" t="s">
        <v>186</v>
      </c>
      <c r="B1" s="38"/>
      <c r="C1" s="38"/>
      <c r="D1" s="38"/>
      <c r="E1" s="38"/>
      <c r="F1" s="38"/>
      <c r="G1" s="38"/>
      <c r="H1" s="38"/>
    </row>
    <row r="2" spans="1:10" ht="25.95" customHeight="1" x14ac:dyDescent="0.3">
      <c r="A2" s="91" t="s">
        <v>187</v>
      </c>
      <c r="B2" s="92"/>
      <c r="C2" s="92"/>
      <c r="D2" s="92"/>
      <c r="E2" s="92"/>
      <c r="F2" s="92"/>
      <c r="G2" s="92"/>
      <c r="H2" s="92"/>
    </row>
    <row r="3" spans="1:10" ht="28.05" customHeight="1" x14ac:dyDescent="0.3">
      <c r="A3" s="40" t="s">
        <v>188</v>
      </c>
      <c r="B3" s="40" t="s">
        <v>189</v>
      </c>
      <c r="C3" s="40" t="s">
        <v>190</v>
      </c>
      <c r="D3" s="40" t="s">
        <v>191</v>
      </c>
      <c r="E3" s="40" t="s">
        <v>192</v>
      </c>
      <c r="F3" s="40" t="s">
        <v>193</v>
      </c>
      <c r="G3" s="40" t="s">
        <v>194</v>
      </c>
      <c r="H3" s="40" t="s">
        <v>195</v>
      </c>
      <c r="J3" s="40" t="s">
        <v>196</v>
      </c>
    </row>
    <row r="4" spans="1:10" ht="16.95" customHeight="1" x14ac:dyDescent="0.3">
      <c r="A4" s="41" t="s">
        <v>197</v>
      </c>
      <c r="B4" s="42"/>
      <c r="C4" s="42"/>
      <c r="D4" s="42"/>
      <c r="E4" s="42"/>
      <c r="F4" s="42"/>
      <c r="G4" s="42"/>
      <c r="H4" s="42"/>
      <c r="J4" s="43" t="s">
        <v>22</v>
      </c>
    </row>
    <row r="5" spans="1:10" ht="43.5" customHeight="1" x14ac:dyDescent="0.3">
      <c r="A5" s="44" t="s">
        <v>198</v>
      </c>
      <c r="B5" s="45" t="s">
        <v>199</v>
      </c>
      <c r="C5" s="46" t="s">
        <v>200</v>
      </c>
      <c r="D5" s="46" t="s">
        <v>201</v>
      </c>
      <c r="E5" s="46" t="s">
        <v>202</v>
      </c>
      <c r="F5" s="47" t="s">
        <v>203</v>
      </c>
      <c r="G5" s="45" t="s">
        <v>204</v>
      </c>
      <c r="H5" s="46" t="s">
        <v>205</v>
      </c>
      <c r="J5" s="43" t="s">
        <v>206</v>
      </c>
    </row>
    <row r="6" spans="1:10" ht="30.45" customHeight="1" x14ac:dyDescent="0.3">
      <c r="A6" s="44" t="s">
        <v>207</v>
      </c>
      <c r="B6" s="45" t="s">
        <v>208</v>
      </c>
      <c r="C6" s="46" t="s">
        <v>209</v>
      </c>
      <c r="D6" s="46" t="s">
        <v>210</v>
      </c>
      <c r="E6" s="46" t="s">
        <v>211</v>
      </c>
      <c r="F6" s="47" t="s">
        <v>212</v>
      </c>
      <c r="G6" s="45" t="s">
        <v>213</v>
      </c>
      <c r="H6" s="46" t="s">
        <v>214</v>
      </c>
      <c r="J6" s="43" t="s">
        <v>215</v>
      </c>
    </row>
    <row r="7" spans="1:10" ht="43.5" customHeight="1" x14ac:dyDescent="0.3">
      <c r="A7" s="44" t="s">
        <v>216</v>
      </c>
      <c r="B7" s="45" t="s">
        <v>217</v>
      </c>
      <c r="C7" s="46" t="s">
        <v>218</v>
      </c>
      <c r="D7" s="46" t="s">
        <v>219</v>
      </c>
      <c r="E7" s="46" t="s">
        <v>220</v>
      </c>
      <c r="F7" s="47" t="s">
        <v>221</v>
      </c>
      <c r="G7" s="45" t="s">
        <v>222</v>
      </c>
      <c r="H7" s="46" t="s">
        <v>223</v>
      </c>
      <c r="J7" s="43" t="s">
        <v>224</v>
      </c>
    </row>
    <row r="8" spans="1:10" ht="43.5" customHeight="1" x14ac:dyDescent="0.3">
      <c r="A8" s="44" t="s">
        <v>225</v>
      </c>
      <c r="B8" s="45" t="s">
        <v>226</v>
      </c>
      <c r="C8" s="46" t="s">
        <v>227</v>
      </c>
      <c r="D8" s="46" t="s">
        <v>228</v>
      </c>
      <c r="E8" s="46" t="s">
        <v>229</v>
      </c>
      <c r="F8" s="47" t="s">
        <v>221</v>
      </c>
      <c r="G8" s="45" t="s">
        <v>230</v>
      </c>
      <c r="H8" s="46" t="s">
        <v>231</v>
      </c>
      <c r="J8" s="43" t="s">
        <v>232</v>
      </c>
    </row>
    <row r="9" spans="1:10" ht="30.45" customHeight="1" x14ac:dyDescent="0.3">
      <c r="A9" s="44" t="s">
        <v>233</v>
      </c>
      <c r="B9" s="45" t="s">
        <v>234</v>
      </c>
      <c r="C9" s="46" t="s">
        <v>235</v>
      </c>
      <c r="D9" s="46" t="s">
        <v>236</v>
      </c>
      <c r="E9" s="46" t="s">
        <v>237</v>
      </c>
      <c r="F9" s="47" t="s">
        <v>221</v>
      </c>
      <c r="G9" s="45" t="s">
        <v>238</v>
      </c>
      <c r="H9" s="46" t="s">
        <v>239</v>
      </c>
      <c r="J9" s="43" t="s">
        <v>240</v>
      </c>
    </row>
    <row r="10" spans="1:10" ht="43.5" customHeight="1" x14ac:dyDescent="0.3">
      <c r="A10" s="44" t="s">
        <v>241</v>
      </c>
      <c r="B10" s="45" t="s">
        <v>242</v>
      </c>
      <c r="C10" s="46" t="s">
        <v>243</v>
      </c>
      <c r="D10" s="46" t="s">
        <v>244</v>
      </c>
      <c r="E10" s="46" t="s">
        <v>245</v>
      </c>
      <c r="F10" s="47" t="s">
        <v>203</v>
      </c>
      <c r="G10" s="45" t="s">
        <v>204</v>
      </c>
      <c r="H10" s="46" t="s">
        <v>246</v>
      </c>
      <c r="J10" s="43" t="s">
        <v>247</v>
      </c>
    </row>
    <row r="11" spans="1:10" ht="43.5" customHeight="1" x14ac:dyDescent="0.3">
      <c r="A11" s="44" t="s">
        <v>248</v>
      </c>
      <c r="B11" s="45" t="s">
        <v>249</v>
      </c>
      <c r="C11" s="46" t="s">
        <v>250</v>
      </c>
      <c r="D11" s="46" t="s">
        <v>251</v>
      </c>
      <c r="E11" s="46" t="s">
        <v>252</v>
      </c>
      <c r="F11" s="47" t="s">
        <v>221</v>
      </c>
      <c r="G11" s="45" t="s">
        <v>253</v>
      </c>
      <c r="H11" s="46" t="s">
        <v>254</v>
      </c>
      <c r="J11" s="43" t="s">
        <v>255</v>
      </c>
    </row>
    <row r="12" spans="1:10" ht="43.5" customHeight="1" x14ac:dyDescent="0.3">
      <c r="A12" s="44" t="s">
        <v>256</v>
      </c>
      <c r="B12" s="45" t="s">
        <v>257</v>
      </c>
      <c r="C12" s="46" t="s">
        <v>258</v>
      </c>
      <c r="D12" s="46" t="s">
        <v>259</v>
      </c>
      <c r="E12" s="46" t="s">
        <v>260</v>
      </c>
      <c r="F12" s="47" t="s">
        <v>221</v>
      </c>
      <c r="G12" s="45" t="s">
        <v>230</v>
      </c>
      <c r="H12" s="46" t="s">
        <v>261</v>
      </c>
      <c r="J12" s="43" t="s">
        <v>262</v>
      </c>
    </row>
    <row r="13" spans="1:10" ht="30.45" customHeight="1" x14ac:dyDescent="0.3">
      <c r="A13" s="44" t="s">
        <v>263</v>
      </c>
      <c r="B13" s="45" t="s">
        <v>264</v>
      </c>
      <c r="C13" s="46" t="s">
        <v>265</v>
      </c>
      <c r="D13" s="46" t="s">
        <v>266</v>
      </c>
      <c r="E13" s="46" t="s">
        <v>267</v>
      </c>
      <c r="F13" s="47" t="s">
        <v>203</v>
      </c>
      <c r="G13" s="45" t="s">
        <v>204</v>
      </c>
      <c r="H13" s="46" t="s">
        <v>268</v>
      </c>
      <c r="J13" s="43" t="s">
        <v>269</v>
      </c>
    </row>
    <row r="14" spans="1:10" ht="30.45" customHeight="1" x14ac:dyDescent="0.3">
      <c r="A14" s="44" t="s">
        <v>270</v>
      </c>
      <c r="B14" s="45" t="s">
        <v>271</v>
      </c>
      <c r="C14" s="46" t="s">
        <v>272</v>
      </c>
      <c r="D14" s="46" t="s">
        <v>273</v>
      </c>
      <c r="E14" s="46" t="s">
        <v>274</v>
      </c>
      <c r="F14" s="47" t="s">
        <v>221</v>
      </c>
      <c r="G14" s="45" t="s">
        <v>275</v>
      </c>
      <c r="H14" s="46" t="s">
        <v>276</v>
      </c>
      <c r="J14" s="43" t="s">
        <v>277</v>
      </c>
    </row>
    <row r="15" spans="1:10" ht="16.95" customHeight="1" x14ac:dyDescent="0.3">
      <c r="A15" s="41" t="s">
        <v>278</v>
      </c>
      <c r="B15" s="42"/>
      <c r="C15" s="42"/>
      <c r="D15" s="42"/>
      <c r="E15" s="42"/>
      <c r="F15" s="42"/>
      <c r="G15" s="42"/>
      <c r="H15" s="42"/>
      <c r="J15" s="43" t="s">
        <v>279</v>
      </c>
    </row>
    <row r="16" spans="1:10" ht="30.45" customHeight="1" x14ac:dyDescent="0.3">
      <c r="A16" s="44" t="s">
        <v>280</v>
      </c>
      <c r="B16" s="45" t="s">
        <v>281</v>
      </c>
      <c r="C16" s="46" t="s">
        <v>282</v>
      </c>
      <c r="D16" s="46" t="s">
        <v>283</v>
      </c>
      <c r="E16" s="46" t="s">
        <v>284</v>
      </c>
      <c r="F16" s="47" t="s">
        <v>285</v>
      </c>
      <c r="G16" s="45" t="s">
        <v>286</v>
      </c>
      <c r="H16" s="46" t="s">
        <v>287</v>
      </c>
      <c r="J16" s="43" t="s">
        <v>288</v>
      </c>
    </row>
    <row r="17" spans="1:10" ht="30.45" customHeight="1" x14ac:dyDescent="0.3">
      <c r="A17" s="44" t="s">
        <v>289</v>
      </c>
      <c r="B17" s="45" t="s">
        <v>290</v>
      </c>
      <c r="C17" s="46" t="s">
        <v>291</v>
      </c>
      <c r="D17" s="46" t="s">
        <v>292</v>
      </c>
      <c r="E17" s="46" t="s">
        <v>293</v>
      </c>
      <c r="F17" s="47" t="s">
        <v>212</v>
      </c>
      <c r="G17" s="45" t="s">
        <v>294</v>
      </c>
      <c r="H17" s="46" t="s">
        <v>295</v>
      </c>
      <c r="J17" s="43" t="s">
        <v>296</v>
      </c>
    </row>
    <row r="18" spans="1:10" ht="30.45" customHeight="1" x14ac:dyDescent="0.3">
      <c r="A18" s="44" t="s">
        <v>297</v>
      </c>
      <c r="B18" s="45" t="s">
        <v>298</v>
      </c>
      <c r="C18" s="46" t="s">
        <v>299</v>
      </c>
      <c r="D18" s="46" t="s">
        <v>300</v>
      </c>
      <c r="E18" s="46" t="s">
        <v>267</v>
      </c>
      <c r="F18" s="47" t="s">
        <v>203</v>
      </c>
      <c r="G18" s="45" t="s">
        <v>204</v>
      </c>
      <c r="H18" s="46" t="s">
        <v>301</v>
      </c>
      <c r="J18" s="43" t="s">
        <v>302</v>
      </c>
    </row>
    <row r="19" spans="1:10" ht="30.45" customHeight="1" x14ac:dyDescent="0.3">
      <c r="A19" s="44" t="s">
        <v>303</v>
      </c>
      <c r="B19" s="45" t="s">
        <v>304</v>
      </c>
      <c r="C19" s="46" t="s">
        <v>305</v>
      </c>
      <c r="D19" s="46" t="s">
        <v>306</v>
      </c>
      <c r="E19" s="46" t="s">
        <v>267</v>
      </c>
      <c r="F19" s="47" t="s">
        <v>203</v>
      </c>
      <c r="G19" s="45" t="s">
        <v>204</v>
      </c>
      <c r="H19" s="46" t="s">
        <v>307</v>
      </c>
      <c r="J19" s="43" t="s">
        <v>308</v>
      </c>
    </row>
    <row r="20" spans="1:10" ht="30.45" customHeight="1" x14ac:dyDescent="0.3">
      <c r="A20" s="44" t="s">
        <v>309</v>
      </c>
      <c r="B20" s="45" t="s">
        <v>310</v>
      </c>
      <c r="C20" s="46" t="s">
        <v>311</v>
      </c>
      <c r="D20" s="46" t="s">
        <v>312</v>
      </c>
      <c r="E20" s="46" t="s">
        <v>313</v>
      </c>
      <c r="F20" s="47" t="s">
        <v>203</v>
      </c>
      <c r="G20" s="45" t="s">
        <v>204</v>
      </c>
      <c r="H20" s="46" t="s">
        <v>314</v>
      </c>
      <c r="J20" s="43" t="s">
        <v>315</v>
      </c>
    </row>
    <row r="21" spans="1:10" ht="30.45" customHeight="1" x14ac:dyDescent="0.3">
      <c r="A21" s="44" t="s">
        <v>316</v>
      </c>
      <c r="B21" s="45" t="s">
        <v>317</v>
      </c>
      <c r="C21" s="46" t="s">
        <v>318</v>
      </c>
      <c r="D21" s="46" t="s">
        <v>319</v>
      </c>
      <c r="E21" s="46" t="s">
        <v>320</v>
      </c>
      <c r="F21" s="47" t="s">
        <v>221</v>
      </c>
      <c r="G21" s="45" t="s">
        <v>321</v>
      </c>
      <c r="H21" s="46" t="s">
        <v>322</v>
      </c>
    </row>
    <row r="22" spans="1:10" ht="30.45" customHeight="1" x14ac:dyDescent="0.3">
      <c r="A22" s="44" t="s">
        <v>323</v>
      </c>
      <c r="B22" s="45" t="s">
        <v>324</v>
      </c>
      <c r="C22" s="46" t="s">
        <v>325</v>
      </c>
      <c r="D22" s="46" t="s">
        <v>326</v>
      </c>
      <c r="E22" s="46" t="s">
        <v>267</v>
      </c>
      <c r="F22" s="47" t="s">
        <v>203</v>
      </c>
      <c r="G22" s="45" t="s">
        <v>204</v>
      </c>
      <c r="H22" s="46" t="s">
        <v>327</v>
      </c>
    </row>
    <row r="23" spans="1:10" ht="16.95" customHeight="1" x14ac:dyDescent="0.3">
      <c r="A23" s="41" t="s">
        <v>328</v>
      </c>
      <c r="B23" s="42"/>
      <c r="C23" s="42"/>
      <c r="D23" s="42"/>
      <c r="E23" s="42"/>
      <c r="F23" s="42"/>
      <c r="G23" s="42"/>
      <c r="H23" s="42"/>
    </row>
    <row r="24" spans="1:10" ht="43.5" customHeight="1" x14ac:dyDescent="0.3">
      <c r="A24" s="44" t="s">
        <v>329</v>
      </c>
      <c r="B24" s="45" t="s">
        <v>330</v>
      </c>
      <c r="C24" s="46" t="s">
        <v>331</v>
      </c>
      <c r="D24" s="46" t="s">
        <v>332</v>
      </c>
      <c r="E24" s="46" t="s">
        <v>267</v>
      </c>
      <c r="F24" s="47" t="s">
        <v>203</v>
      </c>
      <c r="G24" s="45" t="s">
        <v>204</v>
      </c>
      <c r="H24" s="46" t="s">
        <v>333</v>
      </c>
    </row>
    <row r="25" spans="1:10" ht="30.45" customHeight="1" x14ac:dyDescent="0.3">
      <c r="A25" s="44" t="s">
        <v>334</v>
      </c>
      <c r="B25" s="45" t="s">
        <v>335</v>
      </c>
      <c r="C25" s="46" t="s">
        <v>336</v>
      </c>
      <c r="D25" s="46" t="s">
        <v>337</v>
      </c>
      <c r="E25" s="46" t="s">
        <v>267</v>
      </c>
      <c r="F25" s="47" t="s">
        <v>203</v>
      </c>
      <c r="G25" s="45" t="s">
        <v>204</v>
      </c>
      <c r="H25" s="46" t="s">
        <v>338</v>
      </c>
    </row>
    <row r="26" spans="1:10" ht="30.45" customHeight="1" x14ac:dyDescent="0.3">
      <c r="A26" s="44" t="s">
        <v>339</v>
      </c>
      <c r="B26" s="45" t="s">
        <v>340</v>
      </c>
      <c r="C26" s="46" t="s">
        <v>341</v>
      </c>
      <c r="D26" s="46" t="s">
        <v>326</v>
      </c>
      <c r="E26" s="46" t="s">
        <v>267</v>
      </c>
      <c r="F26" s="47" t="s">
        <v>203</v>
      </c>
      <c r="G26" s="45" t="s">
        <v>204</v>
      </c>
      <c r="H26" s="46" t="s">
        <v>342</v>
      </c>
    </row>
    <row r="27" spans="1:10" ht="30.45" customHeight="1" x14ac:dyDescent="0.3">
      <c r="A27" s="44" t="s">
        <v>343</v>
      </c>
      <c r="B27" s="45" t="s">
        <v>344</v>
      </c>
      <c r="C27" s="46" t="s">
        <v>345</v>
      </c>
      <c r="D27" s="46" t="s">
        <v>346</v>
      </c>
      <c r="E27" s="46" t="s">
        <v>267</v>
      </c>
      <c r="F27" s="47" t="s">
        <v>203</v>
      </c>
      <c r="G27" s="45" t="s">
        <v>204</v>
      </c>
      <c r="H27" s="46" t="s">
        <v>347</v>
      </c>
    </row>
    <row r="28" spans="1:10" ht="30.45" customHeight="1" x14ac:dyDescent="0.3">
      <c r="A28" s="44" t="s">
        <v>348</v>
      </c>
      <c r="B28" s="45" t="s">
        <v>349</v>
      </c>
      <c r="C28" s="46" t="s">
        <v>350</v>
      </c>
      <c r="D28" s="46" t="s">
        <v>351</v>
      </c>
      <c r="E28" s="46" t="s">
        <v>267</v>
      </c>
      <c r="F28" s="47" t="s">
        <v>203</v>
      </c>
      <c r="G28" s="45" t="s">
        <v>204</v>
      </c>
      <c r="H28" s="46" t="s">
        <v>352</v>
      </c>
    </row>
    <row r="29" spans="1:10" ht="43.5" customHeight="1" x14ac:dyDescent="0.3">
      <c r="A29" s="44" t="s">
        <v>353</v>
      </c>
      <c r="B29" s="45" t="s">
        <v>354</v>
      </c>
      <c r="C29" s="46" t="s">
        <v>355</v>
      </c>
      <c r="D29" s="46" t="s">
        <v>356</v>
      </c>
      <c r="E29" s="46" t="s">
        <v>267</v>
      </c>
      <c r="F29" s="47" t="s">
        <v>203</v>
      </c>
      <c r="G29" s="45" t="s">
        <v>204</v>
      </c>
      <c r="H29" s="46" t="s">
        <v>357</v>
      </c>
    </row>
    <row r="30" spans="1:10" ht="17.25" customHeight="1" x14ac:dyDescent="0.3">
      <c r="A30" s="44" t="s">
        <v>358</v>
      </c>
      <c r="B30" s="45" t="s">
        <v>359</v>
      </c>
      <c r="C30" s="46" t="s">
        <v>360</v>
      </c>
      <c r="D30" s="46" t="s">
        <v>326</v>
      </c>
      <c r="E30" s="46" t="s">
        <v>267</v>
      </c>
      <c r="F30" s="47" t="s">
        <v>203</v>
      </c>
      <c r="G30" s="45" t="s">
        <v>204</v>
      </c>
      <c r="H30" s="46" t="s">
        <v>361</v>
      </c>
    </row>
    <row r="31" spans="1:10" ht="30.45" customHeight="1" x14ac:dyDescent="0.3">
      <c r="A31" s="44" t="s">
        <v>362</v>
      </c>
      <c r="B31" s="45" t="s">
        <v>363</v>
      </c>
      <c r="C31" s="46" t="s">
        <v>364</v>
      </c>
      <c r="D31" s="46" t="s">
        <v>365</v>
      </c>
      <c r="E31" s="46" t="s">
        <v>267</v>
      </c>
      <c r="F31" s="47" t="s">
        <v>203</v>
      </c>
      <c r="G31" s="45" t="s">
        <v>204</v>
      </c>
      <c r="H31" s="46" t="s">
        <v>366</v>
      </c>
    </row>
    <row r="32" spans="1:10" ht="43.5" customHeight="1" x14ac:dyDescent="0.3">
      <c r="A32" s="44" t="s">
        <v>367</v>
      </c>
      <c r="B32" s="45" t="s">
        <v>368</v>
      </c>
      <c r="C32" s="46" t="s">
        <v>369</v>
      </c>
      <c r="D32" s="46" t="s">
        <v>370</v>
      </c>
      <c r="E32" s="46" t="s">
        <v>371</v>
      </c>
      <c r="F32" s="47" t="s">
        <v>285</v>
      </c>
      <c r="G32" s="45" t="s">
        <v>204</v>
      </c>
      <c r="H32" s="46" t="s">
        <v>372</v>
      </c>
    </row>
    <row r="33" spans="1:8" ht="16.95" customHeight="1" x14ac:dyDescent="0.3">
      <c r="A33" s="41" t="s">
        <v>373</v>
      </c>
      <c r="B33" s="42"/>
      <c r="C33" s="42"/>
      <c r="D33" s="42"/>
      <c r="E33" s="42"/>
      <c r="F33" s="42"/>
      <c r="G33" s="42"/>
      <c r="H33" s="42"/>
    </row>
    <row r="34" spans="1:8" ht="30.45" customHeight="1" x14ac:dyDescent="0.3">
      <c r="A34" s="44" t="s">
        <v>374</v>
      </c>
      <c r="B34" s="45" t="s">
        <v>375</v>
      </c>
      <c r="C34" s="46" t="s">
        <v>376</v>
      </c>
      <c r="D34" s="46" t="s">
        <v>377</v>
      </c>
      <c r="E34" s="46" t="s">
        <v>378</v>
      </c>
      <c r="F34" s="47" t="s">
        <v>285</v>
      </c>
      <c r="G34" s="45" t="s">
        <v>379</v>
      </c>
      <c r="H34" s="46" t="s">
        <v>380</v>
      </c>
    </row>
    <row r="35" spans="1:8" ht="30.45" customHeight="1" x14ac:dyDescent="0.3">
      <c r="A35" s="44" t="s">
        <v>381</v>
      </c>
      <c r="B35" s="45" t="s">
        <v>382</v>
      </c>
      <c r="C35" s="46" t="s">
        <v>383</v>
      </c>
      <c r="D35" s="46" t="s">
        <v>384</v>
      </c>
      <c r="E35" s="46" t="s">
        <v>267</v>
      </c>
      <c r="F35" s="47" t="s">
        <v>203</v>
      </c>
      <c r="G35" s="45" t="s">
        <v>204</v>
      </c>
      <c r="H35" s="46" t="s">
        <v>385</v>
      </c>
    </row>
    <row r="36" spans="1:8" ht="30.45" customHeight="1" x14ac:dyDescent="0.3">
      <c r="A36" s="44" t="s">
        <v>386</v>
      </c>
      <c r="B36" s="45" t="s">
        <v>387</v>
      </c>
      <c r="C36" s="46" t="s">
        <v>388</v>
      </c>
      <c r="D36" s="46" t="s">
        <v>326</v>
      </c>
      <c r="E36" s="46" t="s">
        <v>267</v>
      </c>
      <c r="F36" s="47" t="s">
        <v>203</v>
      </c>
      <c r="G36" s="45" t="s">
        <v>204</v>
      </c>
      <c r="H36" s="46" t="s">
        <v>389</v>
      </c>
    </row>
    <row r="37" spans="1:8" ht="30.45" customHeight="1" x14ac:dyDescent="0.3">
      <c r="A37" s="44" t="s">
        <v>390</v>
      </c>
      <c r="B37" s="45" t="s">
        <v>391</v>
      </c>
      <c r="C37" s="46" t="s">
        <v>392</v>
      </c>
      <c r="D37" s="46" t="s">
        <v>393</v>
      </c>
      <c r="E37" s="46" t="s">
        <v>267</v>
      </c>
      <c r="F37" s="47" t="s">
        <v>203</v>
      </c>
      <c r="G37" s="45" t="s">
        <v>204</v>
      </c>
      <c r="H37" s="46" t="s">
        <v>394</v>
      </c>
    </row>
    <row r="38" spans="1:8" ht="30.45" customHeight="1" x14ac:dyDescent="0.3">
      <c r="A38" s="44" t="s">
        <v>395</v>
      </c>
      <c r="B38" s="45" t="s">
        <v>396</v>
      </c>
      <c r="C38" s="46" t="s">
        <v>397</v>
      </c>
      <c r="D38" s="46" t="s">
        <v>398</v>
      </c>
      <c r="E38" s="46" t="s">
        <v>267</v>
      </c>
      <c r="F38" s="47" t="s">
        <v>203</v>
      </c>
      <c r="G38" s="45" t="s">
        <v>204</v>
      </c>
      <c r="H38" s="46" t="s">
        <v>399</v>
      </c>
    </row>
    <row r="39" spans="1:8" ht="30.45" customHeight="1" x14ac:dyDescent="0.3">
      <c r="A39" s="44" t="s">
        <v>400</v>
      </c>
      <c r="B39" s="45" t="s">
        <v>401</v>
      </c>
      <c r="C39" s="46" t="s">
        <v>402</v>
      </c>
      <c r="D39" s="46" t="s">
        <v>403</v>
      </c>
      <c r="E39" s="46" t="s">
        <v>404</v>
      </c>
      <c r="F39" s="47" t="s">
        <v>203</v>
      </c>
      <c r="G39" s="45" t="s">
        <v>204</v>
      </c>
      <c r="H39" s="46" t="s">
        <v>405</v>
      </c>
    </row>
    <row r="40" spans="1:8" ht="17.25" customHeight="1" x14ac:dyDescent="0.3">
      <c r="A40" s="44" t="s">
        <v>406</v>
      </c>
      <c r="B40" s="45" t="s">
        <v>407</v>
      </c>
      <c r="C40" s="46" t="s">
        <v>408</v>
      </c>
      <c r="D40" s="46" t="s">
        <v>326</v>
      </c>
      <c r="E40" s="46" t="s">
        <v>267</v>
      </c>
      <c r="F40" s="47" t="s">
        <v>203</v>
      </c>
      <c r="G40" s="45" t="s">
        <v>204</v>
      </c>
      <c r="H40" s="46" t="s">
        <v>409</v>
      </c>
    </row>
    <row r="41" spans="1:8" ht="16.95" customHeight="1" x14ac:dyDescent="0.3">
      <c r="A41" s="41" t="s">
        <v>410</v>
      </c>
      <c r="B41" s="42"/>
      <c r="C41" s="42"/>
      <c r="D41" s="42"/>
      <c r="E41" s="42"/>
      <c r="F41" s="42"/>
      <c r="G41" s="42"/>
      <c r="H41" s="42"/>
    </row>
    <row r="42" spans="1:8" ht="30.45" customHeight="1" x14ac:dyDescent="0.3">
      <c r="A42" s="44" t="s">
        <v>411</v>
      </c>
      <c r="B42" s="45" t="s">
        <v>412</v>
      </c>
      <c r="C42" s="46" t="s">
        <v>413</v>
      </c>
      <c r="D42" s="46" t="s">
        <v>414</v>
      </c>
      <c r="E42" s="46" t="s">
        <v>415</v>
      </c>
      <c r="F42" s="47" t="s">
        <v>221</v>
      </c>
      <c r="G42" s="45" t="s">
        <v>416</v>
      </c>
      <c r="H42" s="46" t="s">
        <v>417</v>
      </c>
    </row>
    <row r="43" spans="1:8" ht="30.45" customHeight="1" x14ac:dyDescent="0.3">
      <c r="A43" s="44" t="s">
        <v>418</v>
      </c>
      <c r="B43" s="45" t="s">
        <v>419</v>
      </c>
      <c r="C43" s="46" t="s">
        <v>420</v>
      </c>
      <c r="D43" s="46" t="s">
        <v>421</v>
      </c>
      <c r="E43" s="46" t="s">
        <v>267</v>
      </c>
      <c r="F43" s="47" t="s">
        <v>203</v>
      </c>
      <c r="G43" s="45" t="s">
        <v>204</v>
      </c>
      <c r="H43" s="46" t="s">
        <v>422</v>
      </c>
    </row>
    <row r="44" spans="1:8" ht="30.45" customHeight="1" x14ac:dyDescent="0.3">
      <c r="A44" s="44" t="s">
        <v>423</v>
      </c>
      <c r="B44" s="45" t="s">
        <v>424</v>
      </c>
      <c r="C44" s="46" t="s">
        <v>425</v>
      </c>
      <c r="D44" s="46" t="s">
        <v>426</v>
      </c>
      <c r="E44" s="46" t="s">
        <v>267</v>
      </c>
      <c r="F44" s="47" t="s">
        <v>203</v>
      </c>
      <c r="G44" s="45" t="s">
        <v>204</v>
      </c>
      <c r="H44" s="46" t="s">
        <v>427</v>
      </c>
    </row>
    <row r="45" spans="1:8" ht="43.5" customHeight="1" x14ac:dyDescent="0.3">
      <c r="A45" s="44" t="s">
        <v>428</v>
      </c>
      <c r="B45" s="45" t="s">
        <v>429</v>
      </c>
      <c r="C45" s="46" t="s">
        <v>430</v>
      </c>
      <c r="D45" s="46" t="s">
        <v>431</v>
      </c>
      <c r="E45" s="46" t="s">
        <v>432</v>
      </c>
      <c r="F45" s="47" t="s">
        <v>221</v>
      </c>
      <c r="G45" s="45" t="s">
        <v>275</v>
      </c>
      <c r="H45" s="46" t="s">
        <v>433</v>
      </c>
    </row>
    <row r="46" spans="1:8" ht="30.45" customHeight="1" x14ac:dyDescent="0.3">
      <c r="A46" s="44" t="s">
        <v>434</v>
      </c>
      <c r="B46" s="45" t="s">
        <v>435</v>
      </c>
      <c r="C46" s="46" t="s">
        <v>436</v>
      </c>
      <c r="D46" s="46" t="s">
        <v>437</v>
      </c>
      <c r="E46" s="46" t="s">
        <v>267</v>
      </c>
      <c r="F46" s="47" t="s">
        <v>203</v>
      </c>
      <c r="G46" s="45" t="s">
        <v>204</v>
      </c>
      <c r="H46" s="46" t="s">
        <v>438</v>
      </c>
    </row>
    <row r="47" spans="1:8" ht="30.45" customHeight="1" x14ac:dyDescent="0.3">
      <c r="A47" s="44" t="s">
        <v>439</v>
      </c>
      <c r="B47" s="45" t="s">
        <v>440</v>
      </c>
      <c r="C47" s="46" t="s">
        <v>441</v>
      </c>
      <c r="D47" s="46" t="s">
        <v>326</v>
      </c>
      <c r="E47" s="46" t="s">
        <v>267</v>
      </c>
      <c r="F47" s="47" t="s">
        <v>203</v>
      </c>
      <c r="G47" s="45" t="s">
        <v>204</v>
      </c>
      <c r="H47" s="46" t="s">
        <v>442</v>
      </c>
    </row>
    <row r="48" spans="1:8" ht="30.45" customHeight="1" x14ac:dyDescent="0.3">
      <c r="A48" s="44" t="s">
        <v>443</v>
      </c>
      <c r="B48" s="45" t="s">
        <v>444</v>
      </c>
      <c r="C48" s="46" t="s">
        <v>445</v>
      </c>
      <c r="D48" s="46" t="s">
        <v>446</v>
      </c>
      <c r="E48" s="46" t="s">
        <v>447</v>
      </c>
      <c r="F48" s="47" t="s">
        <v>285</v>
      </c>
      <c r="G48" s="45" t="s">
        <v>204</v>
      </c>
      <c r="H48" s="46" t="s">
        <v>448</v>
      </c>
    </row>
    <row r="49" spans="1:8" ht="16.95" customHeight="1" x14ac:dyDescent="0.3">
      <c r="A49" s="41" t="s">
        <v>449</v>
      </c>
      <c r="B49" s="42"/>
      <c r="C49" s="42"/>
      <c r="D49" s="42"/>
      <c r="E49" s="42"/>
      <c r="F49" s="42"/>
      <c r="G49" s="42"/>
      <c r="H49" s="42"/>
    </row>
    <row r="50" spans="1:8" ht="43.5" customHeight="1" x14ac:dyDescent="0.3">
      <c r="A50" s="44" t="s">
        <v>450</v>
      </c>
      <c r="B50" s="45" t="s">
        <v>451</v>
      </c>
      <c r="C50" s="46" t="s">
        <v>452</v>
      </c>
      <c r="D50" s="46" t="s">
        <v>453</v>
      </c>
      <c r="E50" s="46" t="s">
        <v>454</v>
      </c>
      <c r="F50" s="47" t="s">
        <v>221</v>
      </c>
      <c r="G50" s="45" t="s">
        <v>275</v>
      </c>
      <c r="H50" s="46" t="s">
        <v>455</v>
      </c>
    </row>
    <row r="51" spans="1:8" ht="43.5" customHeight="1" x14ac:dyDescent="0.3">
      <c r="A51" s="44" t="s">
        <v>456</v>
      </c>
      <c r="B51" s="45" t="s">
        <v>457</v>
      </c>
      <c r="C51" s="46" t="s">
        <v>458</v>
      </c>
      <c r="D51" s="46" t="s">
        <v>459</v>
      </c>
      <c r="E51" s="46" t="s">
        <v>460</v>
      </c>
      <c r="F51" s="47" t="s">
        <v>221</v>
      </c>
      <c r="G51" s="45" t="s">
        <v>461</v>
      </c>
      <c r="H51" s="46" t="s">
        <v>462</v>
      </c>
    </row>
    <row r="52" spans="1:8" ht="30.45" customHeight="1" x14ac:dyDescent="0.3">
      <c r="A52" s="44" t="s">
        <v>463</v>
      </c>
      <c r="B52" s="45" t="s">
        <v>464</v>
      </c>
      <c r="C52" s="46" t="s">
        <v>465</v>
      </c>
      <c r="D52" s="46" t="s">
        <v>466</v>
      </c>
      <c r="E52" s="46" t="s">
        <v>467</v>
      </c>
      <c r="F52" s="47" t="s">
        <v>221</v>
      </c>
      <c r="G52" s="45" t="s">
        <v>461</v>
      </c>
      <c r="H52" s="46" t="s">
        <v>468</v>
      </c>
    </row>
    <row r="53" spans="1:8" ht="30.45" customHeight="1" x14ac:dyDescent="0.3">
      <c r="A53" s="44" t="s">
        <v>469</v>
      </c>
      <c r="B53" s="45" t="s">
        <v>470</v>
      </c>
      <c r="C53" s="46" t="s">
        <v>471</v>
      </c>
      <c r="D53" s="46" t="s">
        <v>472</v>
      </c>
      <c r="E53" s="46" t="s">
        <v>267</v>
      </c>
      <c r="F53" s="47" t="s">
        <v>203</v>
      </c>
      <c r="G53" s="45" t="s">
        <v>204</v>
      </c>
      <c r="H53" s="46" t="s">
        <v>473</v>
      </c>
    </row>
    <row r="54" spans="1:8" ht="30.45" customHeight="1" x14ac:dyDescent="0.3">
      <c r="A54" s="44" t="s">
        <v>474</v>
      </c>
      <c r="B54" s="45" t="s">
        <v>475</v>
      </c>
      <c r="C54" s="46" t="s">
        <v>476</v>
      </c>
      <c r="D54" s="46" t="s">
        <v>477</v>
      </c>
      <c r="E54" s="46" t="s">
        <v>478</v>
      </c>
      <c r="F54" s="47" t="s">
        <v>221</v>
      </c>
      <c r="G54" s="45" t="s">
        <v>204</v>
      </c>
      <c r="H54" s="46" t="s">
        <v>479</v>
      </c>
    </row>
    <row r="55" spans="1:8" ht="30.45" customHeight="1" x14ac:dyDescent="0.3">
      <c r="A55" s="44" t="s">
        <v>480</v>
      </c>
      <c r="B55" s="45" t="s">
        <v>481</v>
      </c>
      <c r="C55" s="46" t="s">
        <v>482</v>
      </c>
      <c r="D55" s="46" t="s">
        <v>483</v>
      </c>
      <c r="E55" s="46" t="s">
        <v>467</v>
      </c>
      <c r="F55" s="47" t="s">
        <v>221</v>
      </c>
      <c r="G55" s="45" t="s">
        <v>484</v>
      </c>
      <c r="H55" s="46" t="s">
        <v>485</v>
      </c>
    </row>
    <row r="56" spans="1:8" ht="30.45" customHeight="1" x14ac:dyDescent="0.3">
      <c r="A56" s="44" t="s">
        <v>486</v>
      </c>
      <c r="B56" s="45" t="s">
        <v>487</v>
      </c>
      <c r="C56" s="46" t="s">
        <v>488</v>
      </c>
      <c r="D56" s="46" t="s">
        <v>489</v>
      </c>
      <c r="E56" s="46" t="s">
        <v>267</v>
      </c>
      <c r="F56" s="47" t="s">
        <v>203</v>
      </c>
      <c r="G56" s="45" t="s">
        <v>204</v>
      </c>
      <c r="H56" s="46" t="s">
        <v>490</v>
      </c>
    </row>
    <row r="57" spans="1:8" ht="16.95" customHeight="1" x14ac:dyDescent="0.3">
      <c r="A57" s="41" t="s">
        <v>491</v>
      </c>
      <c r="B57" s="42"/>
      <c r="C57" s="42"/>
      <c r="D57" s="42"/>
      <c r="E57" s="42"/>
      <c r="F57" s="42"/>
      <c r="G57" s="42"/>
      <c r="H57" s="42"/>
    </row>
    <row r="58" spans="1:8" ht="43.5" customHeight="1" x14ac:dyDescent="0.3">
      <c r="A58" s="44" t="s">
        <v>492</v>
      </c>
      <c r="B58" s="45" t="s">
        <v>493</v>
      </c>
      <c r="C58" s="46" t="s">
        <v>494</v>
      </c>
      <c r="D58" s="46" t="s">
        <v>495</v>
      </c>
      <c r="E58" s="46" t="s">
        <v>496</v>
      </c>
      <c r="F58" s="47" t="s">
        <v>497</v>
      </c>
      <c r="G58" s="45" t="s">
        <v>484</v>
      </c>
      <c r="H58" s="46" t="s">
        <v>498</v>
      </c>
    </row>
    <row r="59" spans="1:8" ht="30.45" customHeight="1" x14ac:dyDescent="0.3">
      <c r="A59" s="44" t="s">
        <v>499</v>
      </c>
      <c r="B59" s="45" t="s">
        <v>500</v>
      </c>
      <c r="C59" s="46" t="s">
        <v>501</v>
      </c>
      <c r="D59" s="46" t="s">
        <v>502</v>
      </c>
      <c r="E59" s="46" t="s">
        <v>503</v>
      </c>
      <c r="F59" s="47" t="s">
        <v>285</v>
      </c>
      <c r="G59" s="45" t="s">
        <v>204</v>
      </c>
      <c r="H59" s="46" t="s">
        <v>504</v>
      </c>
    </row>
    <row r="60" spans="1:8" ht="43.5" customHeight="1" x14ac:dyDescent="0.3">
      <c r="A60" s="44" t="s">
        <v>505</v>
      </c>
      <c r="B60" s="45" t="s">
        <v>506</v>
      </c>
      <c r="C60" s="46" t="s">
        <v>507</v>
      </c>
      <c r="D60" s="46" t="s">
        <v>508</v>
      </c>
      <c r="E60" s="46" t="s">
        <v>509</v>
      </c>
      <c r="F60" s="47" t="s">
        <v>285</v>
      </c>
      <c r="G60" s="45" t="s">
        <v>510</v>
      </c>
      <c r="H60" s="46" t="s">
        <v>511</v>
      </c>
    </row>
    <row r="61" spans="1:8" ht="30.45" customHeight="1" x14ac:dyDescent="0.3">
      <c r="A61" s="44" t="s">
        <v>512</v>
      </c>
      <c r="B61" s="45" t="s">
        <v>513</v>
      </c>
      <c r="C61" s="46" t="s">
        <v>514</v>
      </c>
      <c r="D61" s="46" t="s">
        <v>515</v>
      </c>
      <c r="E61" s="46" t="s">
        <v>267</v>
      </c>
      <c r="F61" s="47" t="s">
        <v>203</v>
      </c>
      <c r="G61" s="45" t="s">
        <v>204</v>
      </c>
      <c r="H61" s="46" t="s">
        <v>516</v>
      </c>
    </row>
    <row r="62" spans="1:8" ht="43.5" customHeight="1" x14ac:dyDescent="0.3">
      <c r="A62" s="44" t="s">
        <v>517</v>
      </c>
      <c r="B62" s="45" t="s">
        <v>518</v>
      </c>
      <c r="C62" s="46" t="s">
        <v>519</v>
      </c>
      <c r="D62" s="46" t="s">
        <v>520</v>
      </c>
      <c r="E62" s="46" t="s">
        <v>521</v>
      </c>
      <c r="F62" s="47" t="s">
        <v>221</v>
      </c>
      <c r="G62" s="45" t="s">
        <v>275</v>
      </c>
      <c r="H62" s="46" t="s">
        <v>522</v>
      </c>
    </row>
    <row r="63" spans="1:8" ht="30.45" customHeight="1" x14ac:dyDescent="0.3">
      <c r="A63" s="44" t="s">
        <v>523</v>
      </c>
      <c r="B63" s="45" t="s">
        <v>524</v>
      </c>
      <c r="C63" s="46" t="s">
        <v>525</v>
      </c>
      <c r="D63" s="46" t="s">
        <v>526</v>
      </c>
      <c r="E63" s="46" t="s">
        <v>527</v>
      </c>
      <c r="F63" s="47" t="s">
        <v>221</v>
      </c>
      <c r="G63" s="45" t="s">
        <v>275</v>
      </c>
      <c r="H63" s="46" t="s">
        <v>528</v>
      </c>
    </row>
    <row r="64" spans="1:8" ht="43.5" customHeight="1" x14ac:dyDescent="0.3">
      <c r="A64" s="44" t="s">
        <v>529</v>
      </c>
      <c r="B64" s="45" t="s">
        <v>530</v>
      </c>
      <c r="C64" s="46" t="s">
        <v>531</v>
      </c>
      <c r="D64" s="46" t="s">
        <v>532</v>
      </c>
      <c r="E64" s="46" t="s">
        <v>533</v>
      </c>
      <c r="F64" s="47" t="s">
        <v>221</v>
      </c>
      <c r="G64" s="45" t="s">
        <v>275</v>
      </c>
      <c r="H64" s="46" t="s">
        <v>534</v>
      </c>
    </row>
    <row r="65" spans="1:8" ht="30.45" customHeight="1" x14ac:dyDescent="0.3">
      <c r="A65" s="44" t="s">
        <v>535</v>
      </c>
      <c r="B65" s="45" t="s">
        <v>536</v>
      </c>
      <c r="C65" s="46" t="s">
        <v>537</v>
      </c>
      <c r="D65" s="46" t="s">
        <v>538</v>
      </c>
      <c r="E65" s="46" t="s">
        <v>539</v>
      </c>
      <c r="F65" s="47" t="s">
        <v>540</v>
      </c>
      <c r="G65" s="45" t="s">
        <v>541</v>
      </c>
      <c r="H65" s="46" t="s">
        <v>542</v>
      </c>
    </row>
    <row r="66" spans="1:8" ht="30.45" customHeight="1" x14ac:dyDescent="0.3">
      <c r="A66" s="44" t="s">
        <v>543</v>
      </c>
      <c r="B66" s="45" t="s">
        <v>544</v>
      </c>
      <c r="C66" s="46" t="s">
        <v>545</v>
      </c>
      <c r="D66" s="46" t="s">
        <v>546</v>
      </c>
      <c r="E66" s="46" t="s">
        <v>267</v>
      </c>
      <c r="F66" s="47" t="s">
        <v>203</v>
      </c>
      <c r="G66" s="45" t="s">
        <v>204</v>
      </c>
      <c r="H66" s="46" t="s">
        <v>547</v>
      </c>
    </row>
    <row r="67" spans="1:8" ht="30.45" customHeight="1" x14ac:dyDescent="0.3">
      <c r="A67" s="44" t="s">
        <v>548</v>
      </c>
      <c r="B67" s="45" t="s">
        <v>549</v>
      </c>
      <c r="C67" s="46" t="s">
        <v>550</v>
      </c>
      <c r="D67" s="46" t="s">
        <v>551</v>
      </c>
      <c r="E67" s="46" t="s">
        <v>552</v>
      </c>
      <c r="F67" s="47" t="s">
        <v>285</v>
      </c>
      <c r="G67" s="45" t="s">
        <v>204</v>
      </c>
      <c r="H67" s="46" t="s">
        <v>553</v>
      </c>
    </row>
    <row r="68" spans="1:8" ht="16.95" customHeight="1" x14ac:dyDescent="0.3">
      <c r="A68" s="41" t="s">
        <v>554</v>
      </c>
      <c r="B68" s="42"/>
      <c r="C68" s="42"/>
      <c r="D68" s="42"/>
      <c r="E68" s="42"/>
      <c r="F68" s="42"/>
      <c r="G68" s="42"/>
      <c r="H68" s="42"/>
    </row>
    <row r="69" spans="1:8" ht="30.45" customHeight="1" x14ac:dyDescent="0.3">
      <c r="A69" s="44" t="s">
        <v>555</v>
      </c>
      <c r="B69" s="45" t="s">
        <v>556</v>
      </c>
      <c r="C69" s="46" t="s">
        <v>557</v>
      </c>
      <c r="D69" s="46" t="s">
        <v>558</v>
      </c>
      <c r="E69" s="46" t="s">
        <v>267</v>
      </c>
      <c r="F69" s="47" t="s">
        <v>203</v>
      </c>
      <c r="G69" s="45" t="s">
        <v>204</v>
      </c>
      <c r="H69" s="46" t="s">
        <v>559</v>
      </c>
    </row>
    <row r="70" spans="1:8" ht="43.5" customHeight="1" x14ac:dyDescent="0.3">
      <c r="A70" s="44" t="s">
        <v>560</v>
      </c>
      <c r="B70" s="45" t="s">
        <v>561</v>
      </c>
      <c r="C70" s="46" t="s">
        <v>562</v>
      </c>
      <c r="D70" s="46" t="s">
        <v>563</v>
      </c>
      <c r="E70" s="46" t="s">
        <v>564</v>
      </c>
      <c r="F70" s="47" t="s">
        <v>285</v>
      </c>
      <c r="G70" s="45" t="s">
        <v>565</v>
      </c>
      <c r="H70" s="46" t="s">
        <v>566</v>
      </c>
    </row>
    <row r="71" spans="1:8" ht="30.45" customHeight="1" x14ac:dyDescent="0.3">
      <c r="A71" s="44" t="s">
        <v>567</v>
      </c>
      <c r="B71" s="45" t="s">
        <v>568</v>
      </c>
      <c r="C71" s="46" t="s">
        <v>569</v>
      </c>
      <c r="D71" s="46" t="s">
        <v>570</v>
      </c>
      <c r="E71" s="46" t="s">
        <v>571</v>
      </c>
      <c r="F71" s="47" t="s">
        <v>285</v>
      </c>
      <c r="G71" s="45" t="s">
        <v>565</v>
      </c>
      <c r="H71" s="46" t="s">
        <v>572</v>
      </c>
    </row>
    <row r="72" spans="1:8" ht="30.45" customHeight="1" x14ac:dyDescent="0.3">
      <c r="A72" s="44" t="s">
        <v>573</v>
      </c>
      <c r="B72" s="45" t="s">
        <v>574</v>
      </c>
      <c r="C72" s="46" t="s">
        <v>575</v>
      </c>
      <c r="D72" s="46" t="s">
        <v>576</v>
      </c>
      <c r="E72" s="46" t="s">
        <v>571</v>
      </c>
      <c r="F72" s="47" t="s">
        <v>285</v>
      </c>
      <c r="G72" s="45" t="s">
        <v>565</v>
      </c>
      <c r="H72" s="46" t="s">
        <v>577</v>
      </c>
    </row>
    <row r="73" spans="1:8" ht="30.45" customHeight="1" x14ac:dyDescent="0.3">
      <c r="A73" s="44" t="s">
        <v>578</v>
      </c>
      <c r="B73" s="45" t="s">
        <v>579</v>
      </c>
      <c r="C73" s="46" t="s">
        <v>580</v>
      </c>
      <c r="D73" s="46" t="s">
        <v>581</v>
      </c>
      <c r="E73" s="46" t="s">
        <v>267</v>
      </c>
      <c r="F73" s="47" t="s">
        <v>203</v>
      </c>
      <c r="G73" s="45" t="s">
        <v>204</v>
      </c>
      <c r="H73" s="46" t="s">
        <v>582</v>
      </c>
    </row>
    <row r="74" spans="1:8" ht="43.5" customHeight="1" x14ac:dyDescent="0.3">
      <c r="A74" s="44" t="s">
        <v>583</v>
      </c>
      <c r="B74" s="45" t="s">
        <v>584</v>
      </c>
      <c r="C74" s="46" t="s">
        <v>585</v>
      </c>
      <c r="D74" s="46" t="s">
        <v>586</v>
      </c>
      <c r="E74" s="46" t="s">
        <v>587</v>
      </c>
      <c r="F74" s="47" t="s">
        <v>497</v>
      </c>
      <c r="G74" s="45" t="s">
        <v>588</v>
      </c>
      <c r="H74" s="46" t="s">
        <v>589</v>
      </c>
    </row>
    <row r="75" spans="1:8" ht="30.45" customHeight="1" x14ac:dyDescent="0.3">
      <c r="A75" s="44" t="s">
        <v>590</v>
      </c>
      <c r="B75" s="45" t="s">
        <v>591</v>
      </c>
      <c r="C75" s="46" t="s">
        <v>592</v>
      </c>
      <c r="D75" s="46" t="s">
        <v>593</v>
      </c>
      <c r="E75" s="46" t="s">
        <v>594</v>
      </c>
      <c r="F75" s="47" t="s">
        <v>221</v>
      </c>
      <c r="G75" s="45" t="s">
        <v>230</v>
      </c>
      <c r="H75" s="46" t="s">
        <v>595</v>
      </c>
    </row>
    <row r="76" spans="1:8" ht="30.45" customHeight="1" x14ac:dyDescent="0.3">
      <c r="A76" s="44" t="s">
        <v>596</v>
      </c>
      <c r="B76" s="45" t="s">
        <v>597</v>
      </c>
      <c r="C76" s="46" t="s">
        <v>598</v>
      </c>
      <c r="D76" s="46" t="s">
        <v>326</v>
      </c>
      <c r="E76" s="46" t="s">
        <v>267</v>
      </c>
      <c r="F76" s="47" t="s">
        <v>203</v>
      </c>
      <c r="G76" s="45" t="s">
        <v>204</v>
      </c>
      <c r="H76" s="46" t="s">
        <v>599</v>
      </c>
    </row>
    <row r="77" spans="1:8" ht="16.95" customHeight="1" x14ac:dyDescent="0.3">
      <c r="A77" s="41" t="s">
        <v>600</v>
      </c>
      <c r="B77" s="42"/>
      <c r="C77" s="42"/>
      <c r="D77" s="42"/>
      <c r="E77" s="42"/>
      <c r="F77" s="42"/>
      <c r="G77" s="42"/>
      <c r="H77" s="42"/>
    </row>
    <row r="78" spans="1:8" ht="43.5" customHeight="1" x14ac:dyDescent="0.3">
      <c r="A78" s="44" t="s">
        <v>601</v>
      </c>
      <c r="B78" s="45" t="s">
        <v>602</v>
      </c>
      <c r="C78" s="46" t="s">
        <v>603</v>
      </c>
      <c r="D78" s="46" t="s">
        <v>604</v>
      </c>
      <c r="E78" s="46" t="s">
        <v>605</v>
      </c>
      <c r="F78" s="47" t="s">
        <v>285</v>
      </c>
      <c r="G78" s="45" t="s">
        <v>606</v>
      </c>
      <c r="H78" s="46" t="s">
        <v>607</v>
      </c>
    </row>
    <row r="79" spans="1:8" ht="30.45" customHeight="1" x14ac:dyDescent="0.3">
      <c r="A79" s="44" t="s">
        <v>608</v>
      </c>
      <c r="B79" s="45" t="s">
        <v>609</v>
      </c>
      <c r="C79" s="46" t="s">
        <v>610</v>
      </c>
      <c r="D79" s="46" t="s">
        <v>611</v>
      </c>
      <c r="E79" s="46" t="s">
        <v>612</v>
      </c>
      <c r="F79" s="47" t="s">
        <v>221</v>
      </c>
      <c r="G79" s="45" t="s">
        <v>613</v>
      </c>
      <c r="H79" s="46" t="s">
        <v>614</v>
      </c>
    </row>
    <row r="80" spans="1:8" ht="30.45" customHeight="1" x14ac:dyDescent="0.3">
      <c r="A80" s="44" t="s">
        <v>615</v>
      </c>
      <c r="B80" s="45" t="s">
        <v>616</v>
      </c>
      <c r="C80" s="46" t="s">
        <v>617</v>
      </c>
      <c r="D80" s="46" t="s">
        <v>618</v>
      </c>
      <c r="E80" s="46" t="s">
        <v>619</v>
      </c>
      <c r="F80" s="47" t="s">
        <v>221</v>
      </c>
      <c r="G80" s="45" t="s">
        <v>620</v>
      </c>
      <c r="H80" s="46" t="s">
        <v>621</v>
      </c>
    </row>
    <row r="81" spans="1:8" ht="30.45" customHeight="1" x14ac:dyDescent="0.3">
      <c r="A81" s="44" t="s">
        <v>622</v>
      </c>
      <c r="B81" s="45" t="s">
        <v>623</v>
      </c>
      <c r="C81" s="46" t="s">
        <v>624</v>
      </c>
      <c r="D81" s="46" t="s">
        <v>625</v>
      </c>
      <c r="E81" s="46" t="s">
        <v>626</v>
      </c>
      <c r="F81" s="47" t="s">
        <v>221</v>
      </c>
      <c r="G81" s="45" t="s">
        <v>627</v>
      </c>
      <c r="H81" s="46" t="s">
        <v>628</v>
      </c>
    </row>
    <row r="82" spans="1:8" ht="30.45" customHeight="1" x14ac:dyDescent="0.3">
      <c r="A82" s="44" t="s">
        <v>629</v>
      </c>
      <c r="B82" s="45" t="s">
        <v>630</v>
      </c>
      <c r="C82" s="46" t="s">
        <v>631</v>
      </c>
      <c r="D82" s="46" t="s">
        <v>632</v>
      </c>
      <c r="E82" s="46" t="s">
        <v>633</v>
      </c>
      <c r="F82" s="47" t="s">
        <v>285</v>
      </c>
      <c r="G82" s="45" t="s">
        <v>204</v>
      </c>
      <c r="H82" s="46" t="s">
        <v>634</v>
      </c>
    </row>
    <row r="83" spans="1:8" ht="17.25" customHeight="1" x14ac:dyDescent="0.3">
      <c r="A83" s="44" t="s">
        <v>635</v>
      </c>
      <c r="B83" s="45" t="s">
        <v>636</v>
      </c>
      <c r="C83" s="46" t="s">
        <v>637</v>
      </c>
      <c r="D83" s="46" t="s">
        <v>326</v>
      </c>
      <c r="E83" s="46" t="s">
        <v>267</v>
      </c>
      <c r="F83" s="47" t="s">
        <v>203</v>
      </c>
      <c r="G83" s="45" t="s">
        <v>204</v>
      </c>
      <c r="H83" s="46" t="s">
        <v>638</v>
      </c>
    </row>
    <row r="84" spans="1:8" ht="16.95" customHeight="1" x14ac:dyDescent="0.3">
      <c r="A84" s="41" t="s">
        <v>639</v>
      </c>
      <c r="B84" s="42"/>
      <c r="C84" s="42"/>
      <c r="D84" s="42"/>
      <c r="E84" s="42"/>
      <c r="F84" s="42"/>
      <c r="G84" s="42"/>
      <c r="H84" s="42"/>
    </row>
    <row r="85" spans="1:8" ht="43.5" customHeight="1" x14ac:dyDescent="0.3">
      <c r="A85" s="44" t="s">
        <v>640</v>
      </c>
      <c r="B85" s="45" t="s">
        <v>641</v>
      </c>
      <c r="C85" s="46" t="s">
        <v>642</v>
      </c>
      <c r="D85" s="46" t="s">
        <v>643</v>
      </c>
      <c r="E85" s="46" t="s">
        <v>644</v>
      </c>
      <c r="F85" s="47" t="s">
        <v>285</v>
      </c>
      <c r="G85" s="45" t="s">
        <v>645</v>
      </c>
      <c r="H85" s="46" t="s">
        <v>646</v>
      </c>
    </row>
    <row r="86" spans="1:8" ht="43.5" customHeight="1" x14ac:dyDescent="0.3">
      <c r="A86" s="44" t="s">
        <v>647</v>
      </c>
      <c r="B86" s="45" t="s">
        <v>648</v>
      </c>
      <c r="C86" s="46" t="s">
        <v>649</v>
      </c>
      <c r="D86" s="46" t="s">
        <v>650</v>
      </c>
      <c r="E86" s="46" t="s">
        <v>651</v>
      </c>
      <c r="F86" s="47" t="s">
        <v>285</v>
      </c>
      <c r="G86" s="45" t="s">
        <v>204</v>
      </c>
      <c r="H86" s="46" t="s">
        <v>652</v>
      </c>
    </row>
    <row r="87" spans="1:8" ht="43.5" customHeight="1" x14ac:dyDescent="0.3">
      <c r="A87" s="44" t="s">
        <v>653</v>
      </c>
      <c r="B87" s="45" t="s">
        <v>654</v>
      </c>
      <c r="C87" s="46" t="s">
        <v>655</v>
      </c>
      <c r="D87" s="46" t="s">
        <v>656</v>
      </c>
      <c r="E87" s="46" t="s">
        <v>657</v>
      </c>
      <c r="F87" s="47" t="s">
        <v>497</v>
      </c>
      <c r="G87" s="45" t="s">
        <v>658</v>
      </c>
      <c r="H87" s="46" t="s">
        <v>659</v>
      </c>
    </row>
    <row r="88" spans="1:8" ht="43.5" customHeight="1" x14ac:dyDescent="0.3">
      <c r="A88" s="44" t="s">
        <v>660</v>
      </c>
      <c r="B88" s="45" t="s">
        <v>661</v>
      </c>
      <c r="C88" s="46" t="s">
        <v>662</v>
      </c>
      <c r="D88" s="46" t="s">
        <v>663</v>
      </c>
      <c r="E88" s="46" t="s">
        <v>664</v>
      </c>
      <c r="F88" s="47" t="s">
        <v>285</v>
      </c>
      <c r="G88" s="45" t="s">
        <v>204</v>
      </c>
      <c r="H88" s="46" t="s">
        <v>665</v>
      </c>
    </row>
    <row r="89" spans="1:8" ht="30.45" customHeight="1" x14ac:dyDescent="0.3">
      <c r="A89" s="44" t="s">
        <v>666</v>
      </c>
      <c r="B89" s="45" t="s">
        <v>667</v>
      </c>
      <c r="C89" s="46" t="s">
        <v>668</v>
      </c>
      <c r="D89" s="46" t="s">
        <v>669</v>
      </c>
      <c r="E89" s="46" t="s">
        <v>267</v>
      </c>
      <c r="F89" s="47" t="s">
        <v>203</v>
      </c>
      <c r="G89" s="45" t="s">
        <v>204</v>
      </c>
      <c r="H89" s="46" t="s">
        <v>670</v>
      </c>
    </row>
    <row r="90" spans="1:8" ht="30.45" customHeight="1" x14ac:dyDescent="0.3">
      <c r="A90" s="44" t="s">
        <v>671</v>
      </c>
      <c r="B90" s="45" t="s">
        <v>672</v>
      </c>
      <c r="C90" s="46" t="s">
        <v>673</v>
      </c>
      <c r="D90" s="46" t="s">
        <v>674</v>
      </c>
      <c r="E90" s="46" t="s">
        <v>267</v>
      </c>
      <c r="F90" s="47" t="s">
        <v>203</v>
      </c>
      <c r="G90" s="45" t="s">
        <v>204</v>
      </c>
      <c r="H90" s="46" t="s">
        <v>675</v>
      </c>
    </row>
    <row r="91" spans="1:8" ht="30.45" customHeight="1" x14ac:dyDescent="0.3">
      <c r="A91" s="44" t="s">
        <v>676</v>
      </c>
      <c r="B91" s="45" t="s">
        <v>677</v>
      </c>
      <c r="C91" s="46" t="s">
        <v>678</v>
      </c>
      <c r="D91" s="46" t="s">
        <v>679</v>
      </c>
      <c r="E91" s="46" t="s">
        <v>680</v>
      </c>
      <c r="F91" s="47" t="s">
        <v>285</v>
      </c>
      <c r="G91" s="45" t="s">
        <v>204</v>
      </c>
      <c r="H91" s="46" t="s">
        <v>681</v>
      </c>
    </row>
    <row r="92" spans="1:8" ht="16.95" customHeight="1" x14ac:dyDescent="0.3">
      <c r="A92" s="41" t="s">
        <v>682</v>
      </c>
      <c r="B92" s="42"/>
      <c r="C92" s="42"/>
      <c r="D92" s="42"/>
      <c r="E92" s="42"/>
      <c r="F92" s="42"/>
      <c r="G92" s="42"/>
      <c r="H92" s="42"/>
    </row>
    <row r="93" spans="1:8" ht="43.5" customHeight="1" x14ac:dyDescent="0.3">
      <c r="A93" s="44" t="s">
        <v>683</v>
      </c>
      <c r="B93" s="45" t="s">
        <v>684</v>
      </c>
      <c r="C93" s="46" t="s">
        <v>685</v>
      </c>
      <c r="D93" s="46" t="s">
        <v>686</v>
      </c>
      <c r="E93" s="46" t="s">
        <v>687</v>
      </c>
      <c r="F93" s="47" t="s">
        <v>497</v>
      </c>
      <c r="G93" s="45" t="s">
        <v>275</v>
      </c>
      <c r="H93" s="46" t="s">
        <v>688</v>
      </c>
    </row>
    <row r="94" spans="1:8" ht="43.5" customHeight="1" x14ac:dyDescent="0.3">
      <c r="A94" s="44" t="s">
        <v>689</v>
      </c>
      <c r="B94" s="45" t="s">
        <v>690</v>
      </c>
      <c r="C94" s="46" t="s">
        <v>691</v>
      </c>
      <c r="D94" s="46" t="s">
        <v>692</v>
      </c>
      <c r="E94" s="46" t="s">
        <v>693</v>
      </c>
      <c r="F94" s="47" t="s">
        <v>497</v>
      </c>
      <c r="G94" s="45" t="s">
        <v>230</v>
      </c>
      <c r="H94" s="46" t="s">
        <v>694</v>
      </c>
    </row>
    <row r="95" spans="1:8" ht="30.45" customHeight="1" x14ac:dyDescent="0.3">
      <c r="A95" s="44" t="s">
        <v>695</v>
      </c>
      <c r="B95" s="45" t="s">
        <v>696</v>
      </c>
      <c r="C95" s="46" t="s">
        <v>697</v>
      </c>
      <c r="D95" s="46" t="s">
        <v>698</v>
      </c>
      <c r="E95" s="46" t="s">
        <v>699</v>
      </c>
      <c r="F95" s="47" t="s">
        <v>221</v>
      </c>
      <c r="G95" s="45" t="s">
        <v>230</v>
      </c>
      <c r="H95" s="46" t="s">
        <v>700</v>
      </c>
    </row>
    <row r="96" spans="1:8" ht="43.5" customHeight="1" x14ac:dyDescent="0.3">
      <c r="A96" s="44" t="s">
        <v>701</v>
      </c>
      <c r="B96" s="45" t="s">
        <v>702</v>
      </c>
      <c r="C96" s="46" t="s">
        <v>703</v>
      </c>
      <c r="D96" s="46" t="s">
        <v>704</v>
      </c>
      <c r="E96" s="46" t="s">
        <v>705</v>
      </c>
      <c r="F96" s="47" t="s">
        <v>285</v>
      </c>
      <c r="G96" s="45" t="s">
        <v>204</v>
      </c>
      <c r="H96" s="46" t="s">
        <v>706</v>
      </c>
    </row>
    <row r="97" spans="1:8" ht="16.95" customHeight="1" x14ac:dyDescent="0.3">
      <c r="A97" s="41" t="s">
        <v>707</v>
      </c>
      <c r="B97" s="42"/>
      <c r="C97" s="42"/>
      <c r="D97" s="42"/>
      <c r="E97" s="42"/>
      <c r="F97" s="42"/>
      <c r="G97" s="42"/>
      <c r="H97" s="42"/>
    </row>
    <row r="98" spans="1:8" ht="43.5" customHeight="1" x14ac:dyDescent="0.3">
      <c r="A98" s="44" t="s">
        <v>708</v>
      </c>
      <c r="B98" s="45" t="s">
        <v>709</v>
      </c>
      <c r="C98" s="46" t="s">
        <v>710</v>
      </c>
      <c r="D98" s="46" t="s">
        <v>711</v>
      </c>
      <c r="E98" s="46" t="s">
        <v>712</v>
      </c>
      <c r="F98" s="47" t="s">
        <v>497</v>
      </c>
      <c r="G98" s="45" t="s">
        <v>713</v>
      </c>
      <c r="H98" s="46" t="s">
        <v>714</v>
      </c>
    </row>
    <row r="99" spans="1:8" ht="30.45" customHeight="1" x14ac:dyDescent="0.3">
      <c r="A99" s="44" t="s">
        <v>715</v>
      </c>
      <c r="B99" s="45" t="s">
        <v>716</v>
      </c>
      <c r="C99" s="46" t="s">
        <v>717</v>
      </c>
      <c r="D99" s="46" t="s">
        <v>718</v>
      </c>
      <c r="E99" s="46" t="s">
        <v>719</v>
      </c>
      <c r="F99" s="47" t="s">
        <v>285</v>
      </c>
      <c r="G99" s="45" t="s">
        <v>286</v>
      </c>
      <c r="H99" s="46" t="s">
        <v>720</v>
      </c>
    </row>
    <row r="100" spans="1:8" ht="30.45" customHeight="1" x14ac:dyDescent="0.3">
      <c r="A100" s="44" t="s">
        <v>721</v>
      </c>
      <c r="B100" s="45" t="s">
        <v>722</v>
      </c>
      <c r="C100" s="46" t="s">
        <v>723</v>
      </c>
      <c r="D100" s="46" t="s">
        <v>724</v>
      </c>
      <c r="E100" s="46" t="s">
        <v>725</v>
      </c>
      <c r="F100" s="47" t="s">
        <v>285</v>
      </c>
      <c r="G100" s="45" t="s">
        <v>565</v>
      </c>
      <c r="H100" s="46" t="s">
        <v>726</v>
      </c>
    </row>
    <row r="101" spans="1:8" ht="30.45" customHeight="1" x14ac:dyDescent="0.3">
      <c r="A101" s="44" t="s">
        <v>727</v>
      </c>
      <c r="B101" s="45" t="s">
        <v>728</v>
      </c>
      <c r="C101" s="46" t="s">
        <v>729</v>
      </c>
      <c r="D101" s="46" t="s">
        <v>730</v>
      </c>
      <c r="E101" s="46" t="s">
        <v>267</v>
      </c>
      <c r="F101" s="47" t="s">
        <v>203</v>
      </c>
      <c r="G101" s="45" t="s">
        <v>204</v>
      </c>
      <c r="H101" s="46" t="s">
        <v>731</v>
      </c>
    </row>
    <row r="102" spans="1:8" ht="16.95" customHeight="1" x14ac:dyDescent="0.3">
      <c r="A102" s="41" t="s">
        <v>732</v>
      </c>
      <c r="B102" s="42"/>
      <c r="C102" s="42"/>
      <c r="D102" s="42"/>
      <c r="E102" s="42"/>
      <c r="F102" s="42"/>
      <c r="G102" s="42"/>
      <c r="H102" s="42"/>
    </row>
    <row r="103" spans="1:8" ht="30.45" customHeight="1" x14ac:dyDescent="0.3">
      <c r="A103" s="44" t="s">
        <v>733</v>
      </c>
      <c r="B103" s="45" t="s">
        <v>734</v>
      </c>
      <c r="C103" s="46" t="s">
        <v>735</v>
      </c>
      <c r="D103" s="46" t="s">
        <v>736</v>
      </c>
      <c r="E103" s="46" t="s">
        <v>267</v>
      </c>
      <c r="F103" s="47" t="s">
        <v>203</v>
      </c>
      <c r="G103" s="45" t="s">
        <v>204</v>
      </c>
      <c r="H103" s="46" t="s">
        <v>737</v>
      </c>
    </row>
    <row r="104" spans="1:8" ht="43.5" customHeight="1" x14ac:dyDescent="0.3">
      <c r="A104" s="44" t="s">
        <v>738</v>
      </c>
      <c r="B104" s="45" t="s">
        <v>739</v>
      </c>
      <c r="C104" s="46" t="s">
        <v>740</v>
      </c>
      <c r="D104" s="46" t="s">
        <v>741</v>
      </c>
      <c r="E104" s="46" t="s">
        <v>742</v>
      </c>
      <c r="F104" s="47" t="s">
        <v>221</v>
      </c>
      <c r="G104" s="45" t="s">
        <v>588</v>
      </c>
      <c r="H104" s="46" t="s">
        <v>743</v>
      </c>
    </row>
    <row r="105" spans="1:8" ht="30.45" customHeight="1" x14ac:dyDescent="0.3">
      <c r="A105" s="44" t="s">
        <v>744</v>
      </c>
      <c r="B105" s="45" t="s">
        <v>745</v>
      </c>
      <c r="C105" s="46" t="s">
        <v>746</v>
      </c>
      <c r="D105" s="46" t="s">
        <v>747</v>
      </c>
      <c r="E105" s="46" t="s">
        <v>748</v>
      </c>
      <c r="F105" s="47" t="s">
        <v>221</v>
      </c>
      <c r="G105" s="45" t="s">
        <v>749</v>
      </c>
      <c r="H105" s="46" t="s">
        <v>750</v>
      </c>
    </row>
    <row r="106" spans="1:8" ht="30.45" customHeight="1" x14ac:dyDescent="0.3">
      <c r="A106" s="44" t="s">
        <v>751</v>
      </c>
      <c r="B106" s="45" t="s">
        <v>752</v>
      </c>
      <c r="C106" s="46" t="s">
        <v>753</v>
      </c>
      <c r="D106" s="46" t="s">
        <v>754</v>
      </c>
      <c r="E106" s="46" t="s">
        <v>267</v>
      </c>
      <c r="F106" s="47" t="s">
        <v>203</v>
      </c>
      <c r="G106" s="45" t="s">
        <v>204</v>
      </c>
      <c r="H106" s="46" t="s">
        <v>755</v>
      </c>
    </row>
    <row r="107" spans="1:8" ht="30.45" customHeight="1" x14ac:dyDescent="0.3">
      <c r="A107" s="44" t="s">
        <v>756</v>
      </c>
      <c r="B107" s="45" t="s">
        <v>757</v>
      </c>
      <c r="C107" s="46" t="s">
        <v>758</v>
      </c>
      <c r="D107" s="46" t="s">
        <v>326</v>
      </c>
      <c r="E107" s="46" t="s">
        <v>267</v>
      </c>
      <c r="F107" s="47" t="s">
        <v>203</v>
      </c>
      <c r="G107" s="45" t="s">
        <v>204</v>
      </c>
      <c r="H107" s="46" t="s">
        <v>759</v>
      </c>
    </row>
    <row r="108" spans="1:8" ht="16.95" customHeight="1" x14ac:dyDescent="0.3">
      <c r="A108" s="41" t="s">
        <v>760</v>
      </c>
      <c r="B108" s="42"/>
      <c r="C108" s="42"/>
      <c r="D108" s="42"/>
      <c r="E108" s="42"/>
      <c r="F108" s="42"/>
      <c r="G108" s="42"/>
      <c r="H108" s="42"/>
    </row>
    <row r="109" spans="1:8" ht="43.5" customHeight="1" x14ac:dyDescent="0.3">
      <c r="A109" s="44" t="s">
        <v>761</v>
      </c>
      <c r="B109" s="45" t="s">
        <v>762</v>
      </c>
      <c r="C109" s="46" t="s">
        <v>763</v>
      </c>
      <c r="D109" s="46" t="s">
        <v>764</v>
      </c>
      <c r="E109" s="46" t="s">
        <v>765</v>
      </c>
      <c r="F109" s="47" t="s">
        <v>203</v>
      </c>
      <c r="G109" s="45" t="s">
        <v>204</v>
      </c>
      <c r="H109" s="46" t="s">
        <v>766</v>
      </c>
    </row>
    <row r="110" spans="1:8" ht="30.45" customHeight="1" x14ac:dyDescent="0.3">
      <c r="A110" s="44" t="s">
        <v>767</v>
      </c>
      <c r="B110" s="45" t="s">
        <v>768</v>
      </c>
      <c r="C110" s="46" t="s">
        <v>769</v>
      </c>
      <c r="D110" s="46" t="s">
        <v>770</v>
      </c>
      <c r="E110" s="46" t="s">
        <v>771</v>
      </c>
      <c r="F110" s="47" t="s">
        <v>212</v>
      </c>
      <c r="G110" s="45" t="s">
        <v>772</v>
      </c>
      <c r="H110" s="46" t="s">
        <v>773</v>
      </c>
    </row>
    <row r="111" spans="1:8" ht="30.45" customHeight="1" x14ac:dyDescent="0.3">
      <c r="A111" s="44" t="s">
        <v>774</v>
      </c>
      <c r="B111" s="45" t="s">
        <v>775</v>
      </c>
      <c r="C111" s="46" t="s">
        <v>776</v>
      </c>
      <c r="D111" s="46" t="s">
        <v>777</v>
      </c>
      <c r="E111" s="46" t="s">
        <v>778</v>
      </c>
      <c r="F111" s="47" t="s">
        <v>212</v>
      </c>
      <c r="G111" s="45" t="s">
        <v>779</v>
      </c>
      <c r="H111" s="46" t="s">
        <v>780</v>
      </c>
    </row>
    <row r="112" spans="1:8" ht="30.45" customHeight="1" x14ac:dyDescent="0.3">
      <c r="A112" s="44" t="s">
        <v>781</v>
      </c>
      <c r="B112" s="45" t="s">
        <v>782</v>
      </c>
      <c r="C112" s="46" t="s">
        <v>783</v>
      </c>
      <c r="D112" s="46" t="s">
        <v>784</v>
      </c>
      <c r="E112" s="46" t="s">
        <v>785</v>
      </c>
      <c r="F112" s="47" t="s">
        <v>221</v>
      </c>
      <c r="G112" s="45" t="s">
        <v>786</v>
      </c>
      <c r="H112" s="46" t="s">
        <v>787</v>
      </c>
    </row>
    <row r="113" spans="1:8" ht="43.5" customHeight="1" x14ac:dyDescent="0.3">
      <c r="A113" s="44" t="s">
        <v>788</v>
      </c>
      <c r="B113" s="45" t="s">
        <v>789</v>
      </c>
      <c r="C113" s="46" t="s">
        <v>790</v>
      </c>
      <c r="D113" s="46" t="s">
        <v>791</v>
      </c>
      <c r="E113" s="46" t="s">
        <v>792</v>
      </c>
      <c r="F113" s="47" t="s">
        <v>497</v>
      </c>
      <c r="G113" s="45" t="s">
        <v>204</v>
      </c>
      <c r="H113" s="46" t="s">
        <v>793</v>
      </c>
    </row>
    <row r="114" spans="1:8" ht="30.45" customHeight="1" x14ac:dyDescent="0.3">
      <c r="A114" s="44" t="s">
        <v>794</v>
      </c>
      <c r="B114" s="45" t="s">
        <v>795</v>
      </c>
      <c r="C114" s="46" t="s">
        <v>796</v>
      </c>
      <c r="D114" s="46" t="s">
        <v>797</v>
      </c>
      <c r="E114" s="46" t="s">
        <v>798</v>
      </c>
      <c r="F114" s="47" t="s">
        <v>221</v>
      </c>
      <c r="G114" s="45" t="s">
        <v>799</v>
      </c>
      <c r="H114" s="46" t="s">
        <v>800</v>
      </c>
    </row>
    <row r="115" spans="1:8" ht="30.45" customHeight="1" x14ac:dyDescent="0.3">
      <c r="A115" s="44" t="s">
        <v>801</v>
      </c>
      <c r="B115" s="45" t="s">
        <v>802</v>
      </c>
      <c r="C115" s="46" t="s">
        <v>803</v>
      </c>
      <c r="D115" s="46" t="s">
        <v>804</v>
      </c>
      <c r="E115" s="46" t="s">
        <v>805</v>
      </c>
      <c r="F115" s="47" t="s">
        <v>221</v>
      </c>
      <c r="G115" s="45" t="s">
        <v>230</v>
      </c>
      <c r="H115" s="46" t="s">
        <v>806</v>
      </c>
    </row>
    <row r="116" spans="1:8" ht="43.5" customHeight="1" x14ac:dyDescent="0.3">
      <c r="A116" s="44" t="s">
        <v>807</v>
      </c>
      <c r="B116" s="45" t="s">
        <v>808</v>
      </c>
      <c r="C116" s="46" t="s">
        <v>809</v>
      </c>
      <c r="D116" s="46" t="s">
        <v>810</v>
      </c>
      <c r="E116" s="46" t="s">
        <v>811</v>
      </c>
      <c r="F116" s="47" t="s">
        <v>812</v>
      </c>
      <c r="G116" s="45" t="s">
        <v>813</v>
      </c>
      <c r="H116" s="46" t="s">
        <v>814</v>
      </c>
    </row>
    <row r="117" spans="1:8" ht="16.95" customHeight="1" x14ac:dyDescent="0.3">
      <c r="A117" s="41" t="s">
        <v>815</v>
      </c>
      <c r="B117" s="42"/>
      <c r="C117" s="42"/>
      <c r="D117" s="42"/>
      <c r="E117" s="42"/>
      <c r="F117" s="42"/>
      <c r="G117" s="42"/>
      <c r="H117" s="42"/>
    </row>
    <row r="118" spans="1:8" ht="43.5" customHeight="1" x14ac:dyDescent="0.3">
      <c r="A118" s="44" t="s">
        <v>816</v>
      </c>
      <c r="B118" s="45" t="s">
        <v>817</v>
      </c>
      <c r="C118" s="46" t="s">
        <v>818</v>
      </c>
      <c r="D118" s="46" t="s">
        <v>819</v>
      </c>
      <c r="E118" s="46" t="s">
        <v>820</v>
      </c>
      <c r="F118" s="47" t="s">
        <v>821</v>
      </c>
      <c r="G118" s="45" t="s">
        <v>822</v>
      </c>
      <c r="H118" s="46" t="s">
        <v>823</v>
      </c>
    </row>
    <row r="119" spans="1:8" ht="43.5" customHeight="1" x14ac:dyDescent="0.3">
      <c r="A119" s="44" t="s">
        <v>824</v>
      </c>
      <c r="B119" s="45" t="s">
        <v>825</v>
      </c>
      <c r="C119" s="46" t="s">
        <v>826</v>
      </c>
      <c r="D119" s="46" t="s">
        <v>827</v>
      </c>
      <c r="E119" s="46" t="s">
        <v>828</v>
      </c>
      <c r="F119" s="47" t="s">
        <v>821</v>
      </c>
      <c r="G119" s="45" t="s">
        <v>829</v>
      </c>
      <c r="H119" s="46" t="s">
        <v>830</v>
      </c>
    </row>
    <row r="120" spans="1:8" ht="30.45" customHeight="1" x14ac:dyDescent="0.3">
      <c r="A120" s="44" t="s">
        <v>831</v>
      </c>
      <c r="B120" s="45" t="s">
        <v>832</v>
      </c>
      <c r="C120" s="46" t="s">
        <v>833</v>
      </c>
      <c r="D120" s="46" t="s">
        <v>834</v>
      </c>
      <c r="E120" s="46" t="s">
        <v>835</v>
      </c>
      <c r="F120" s="47" t="s">
        <v>821</v>
      </c>
      <c r="G120" s="45" t="s">
        <v>836</v>
      </c>
      <c r="H120" s="46" t="s">
        <v>837</v>
      </c>
    </row>
    <row r="121" spans="1:8" ht="30.45" customHeight="1" x14ac:dyDescent="0.3">
      <c r="A121" s="44" t="s">
        <v>838</v>
      </c>
      <c r="B121" s="45" t="s">
        <v>839</v>
      </c>
      <c r="C121" s="46" t="s">
        <v>840</v>
      </c>
      <c r="D121" s="46" t="s">
        <v>827</v>
      </c>
      <c r="E121" s="46" t="s">
        <v>841</v>
      </c>
      <c r="F121" s="47" t="s">
        <v>821</v>
      </c>
      <c r="G121" s="45" t="s">
        <v>842</v>
      </c>
      <c r="H121" s="46" t="s">
        <v>843</v>
      </c>
    </row>
    <row r="122" spans="1:8" ht="30.45" customHeight="1" x14ac:dyDescent="0.3">
      <c r="A122" s="44" t="s">
        <v>844</v>
      </c>
      <c r="B122" s="45" t="s">
        <v>845</v>
      </c>
      <c r="C122" s="46" t="s">
        <v>846</v>
      </c>
      <c r="D122" s="46" t="s">
        <v>847</v>
      </c>
      <c r="E122" s="46" t="s">
        <v>848</v>
      </c>
      <c r="F122" s="47" t="s">
        <v>821</v>
      </c>
      <c r="G122" s="45" t="s">
        <v>849</v>
      </c>
      <c r="H122" s="46" t="s">
        <v>850</v>
      </c>
    </row>
    <row r="123" spans="1:8" ht="43.5" customHeight="1" x14ac:dyDescent="0.3">
      <c r="A123" s="44" t="s">
        <v>851</v>
      </c>
      <c r="B123" s="45" t="s">
        <v>852</v>
      </c>
      <c r="C123" s="46" t="s">
        <v>853</v>
      </c>
      <c r="D123" s="46" t="s">
        <v>854</v>
      </c>
      <c r="E123" s="46" t="s">
        <v>855</v>
      </c>
      <c r="F123" s="47" t="s">
        <v>821</v>
      </c>
      <c r="G123" s="45" t="s">
        <v>856</v>
      </c>
      <c r="H123" s="46" t="s">
        <v>857</v>
      </c>
    </row>
    <row r="125" spans="1:8" ht="25.95" customHeight="1" x14ac:dyDescent="0.3">
      <c r="A125" s="91" t="s">
        <v>858</v>
      </c>
      <c r="B125" s="92"/>
      <c r="C125" s="92"/>
      <c r="D125" s="92"/>
      <c r="E125" s="92"/>
      <c r="F125" s="92"/>
      <c r="G125" s="92"/>
      <c r="H125" s="92"/>
    </row>
  </sheetData>
  <mergeCells count="2">
    <mergeCell ref="A2:H2"/>
    <mergeCell ref="A125:H12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B1138-2021-449D-8E29-11DCADCE1860}">
  <dimension ref="A1:H66"/>
  <sheetViews>
    <sheetView workbookViewId="0">
      <pane ySplit="3" topLeftCell="A4" activePane="bottomLeft" state="frozen"/>
      <selection pane="bottomLeft"/>
    </sheetView>
  </sheetViews>
  <sheetFormatPr defaultRowHeight="14.4" x14ac:dyDescent="0.3"/>
  <cols>
    <col min="1" max="1" width="8" style="39" customWidth="1"/>
    <col min="2" max="2" width="22" style="39" customWidth="1"/>
    <col min="3" max="3" width="38" style="39" customWidth="1"/>
    <col min="4" max="4" width="13" style="39" customWidth="1"/>
    <col min="5" max="5" width="14" style="39" customWidth="1"/>
    <col min="6" max="6" width="20" style="39" customWidth="1"/>
    <col min="7" max="7" width="9" style="39" customWidth="1"/>
    <col min="8" max="8" width="66" style="39" customWidth="1"/>
    <col min="9" max="16384" width="8.88671875" style="39"/>
  </cols>
  <sheetData>
    <row r="1" spans="1:8" ht="22.05" customHeight="1" x14ac:dyDescent="0.35">
      <c r="A1" s="37" t="s">
        <v>859</v>
      </c>
      <c r="B1" s="38"/>
      <c r="C1" s="38"/>
      <c r="D1" s="38"/>
      <c r="E1" s="38"/>
      <c r="F1" s="38"/>
      <c r="G1" s="38"/>
      <c r="H1" s="38"/>
    </row>
    <row r="2" spans="1:8" ht="25.95" customHeight="1" x14ac:dyDescent="0.3">
      <c r="A2" s="91" t="s">
        <v>860</v>
      </c>
      <c r="B2" s="92"/>
      <c r="C2" s="92"/>
      <c r="D2" s="92"/>
      <c r="E2" s="92"/>
      <c r="F2" s="92"/>
      <c r="G2" s="92"/>
      <c r="H2" s="92"/>
    </row>
    <row r="3" spans="1:8" ht="28.05" customHeight="1" x14ac:dyDescent="0.3">
      <c r="A3" s="40" t="s">
        <v>188</v>
      </c>
      <c r="B3" s="40" t="s">
        <v>861</v>
      </c>
      <c r="C3" s="40" t="s">
        <v>862</v>
      </c>
      <c r="D3" s="40" t="s">
        <v>863</v>
      </c>
      <c r="E3" s="40" t="s">
        <v>864</v>
      </c>
      <c r="F3" s="40" t="s">
        <v>865</v>
      </c>
      <c r="G3" s="40" t="s">
        <v>866</v>
      </c>
      <c r="H3" s="40" t="s">
        <v>148</v>
      </c>
    </row>
    <row r="4" spans="1:8" ht="16.95" customHeight="1" x14ac:dyDescent="0.3">
      <c r="A4" s="41" t="s">
        <v>867</v>
      </c>
      <c r="B4" s="42"/>
      <c r="C4" s="42"/>
      <c r="D4" s="42"/>
      <c r="E4" s="42"/>
      <c r="F4" s="42"/>
      <c r="G4" s="42"/>
      <c r="H4" s="42"/>
    </row>
    <row r="5" spans="1:8" ht="43.5" customHeight="1" x14ac:dyDescent="0.3">
      <c r="A5" s="44" t="s">
        <v>204</v>
      </c>
      <c r="B5" s="45" t="s">
        <v>326</v>
      </c>
      <c r="C5" s="45" t="s">
        <v>868</v>
      </c>
      <c r="D5" s="45" t="s">
        <v>869</v>
      </c>
      <c r="E5" s="48">
        <v>0.7117</v>
      </c>
      <c r="F5" s="45" t="s">
        <v>870</v>
      </c>
      <c r="G5" s="47" t="s">
        <v>203</v>
      </c>
      <c r="H5" s="46" t="s">
        <v>871</v>
      </c>
    </row>
    <row r="6" spans="1:8" ht="30.45" customHeight="1" x14ac:dyDescent="0.3">
      <c r="A6" s="44" t="s">
        <v>872</v>
      </c>
      <c r="B6" s="45" t="s">
        <v>326</v>
      </c>
      <c r="C6" s="45" t="s">
        <v>873</v>
      </c>
      <c r="D6" s="45" t="s">
        <v>869</v>
      </c>
      <c r="E6" s="48">
        <v>0.73829999999999996</v>
      </c>
      <c r="F6" s="45" t="s">
        <v>874</v>
      </c>
      <c r="G6" s="47" t="s">
        <v>203</v>
      </c>
      <c r="H6" s="46" t="s">
        <v>875</v>
      </c>
    </row>
    <row r="7" spans="1:8" ht="43.5" customHeight="1" x14ac:dyDescent="0.3">
      <c r="A7" s="44" t="s">
        <v>876</v>
      </c>
      <c r="B7" s="45" t="s">
        <v>326</v>
      </c>
      <c r="C7" s="45" t="s">
        <v>877</v>
      </c>
      <c r="D7" s="45" t="s">
        <v>869</v>
      </c>
      <c r="E7" s="48">
        <v>0</v>
      </c>
      <c r="F7" s="45" t="s">
        <v>878</v>
      </c>
      <c r="G7" s="47" t="s">
        <v>203</v>
      </c>
      <c r="H7" s="46" t="s">
        <v>879</v>
      </c>
    </row>
    <row r="8" spans="1:8" ht="16.95" customHeight="1" x14ac:dyDescent="0.3">
      <c r="A8" s="41" t="s">
        <v>880</v>
      </c>
      <c r="B8" s="42"/>
      <c r="C8" s="42"/>
      <c r="D8" s="42"/>
      <c r="E8" s="42"/>
      <c r="F8" s="42"/>
      <c r="G8" s="42"/>
      <c r="H8" s="42"/>
    </row>
    <row r="9" spans="1:8" ht="43.5" customHeight="1" x14ac:dyDescent="0.3">
      <c r="A9" s="44" t="s">
        <v>779</v>
      </c>
      <c r="B9" s="45" t="s">
        <v>881</v>
      </c>
      <c r="C9" s="45" t="s">
        <v>882</v>
      </c>
      <c r="D9" s="45" t="s">
        <v>883</v>
      </c>
      <c r="E9" s="49">
        <v>2.68</v>
      </c>
      <c r="F9" s="45" t="s">
        <v>884</v>
      </c>
      <c r="G9" s="47" t="s">
        <v>212</v>
      </c>
      <c r="H9" s="46" t="s">
        <v>885</v>
      </c>
    </row>
    <row r="10" spans="1:8" ht="30.45" customHeight="1" x14ac:dyDescent="0.3">
      <c r="A10" s="44" t="s">
        <v>886</v>
      </c>
      <c r="B10" s="45" t="s">
        <v>881</v>
      </c>
      <c r="C10" s="45" t="s">
        <v>887</v>
      </c>
      <c r="D10" s="45" t="s">
        <v>888</v>
      </c>
      <c r="E10" s="49">
        <v>3.13</v>
      </c>
      <c r="F10" s="45" t="s">
        <v>889</v>
      </c>
      <c r="G10" s="47" t="s">
        <v>212</v>
      </c>
      <c r="H10" s="46" t="s">
        <v>890</v>
      </c>
    </row>
    <row r="11" spans="1:8" ht="17.25" customHeight="1" x14ac:dyDescent="0.3">
      <c r="A11" s="44" t="s">
        <v>891</v>
      </c>
      <c r="B11" s="45" t="s">
        <v>881</v>
      </c>
      <c r="C11" s="45" t="s">
        <v>892</v>
      </c>
      <c r="D11" s="45" t="s">
        <v>883</v>
      </c>
      <c r="E11" s="49">
        <v>2.71</v>
      </c>
      <c r="F11" s="45" t="s">
        <v>884</v>
      </c>
      <c r="G11" s="47" t="s">
        <v>212</v>
      </c>
      <c r="H11" s="46" t="s">
        <v>893</v>
      </c>
    </row>
    <row r="12" spans="1:8" ht="17.25" customHeight="1" x14ac:dyDescent="0.3">
      <c r="A12" s="44" t="s">
        <v>894</v>
      </c>
      <c r="B12" s="45" t="s">
        <v>881</v>
      </c>
      <c r="C12" s="45" t="s">
        <v>895</v>
      </c>
      <c r="D12" s="45" t="s">
        <v>888</v>
      </c>
      <c r="E12" s="49">
        <v>2.98</v>
      </c>
      <c r="F12" s="45" t="s">
        <v>896</v>
      </c>
      <c r="G12" s="47" t="s">
        <v>212</v>
      </c>
      <c r="H12" s="46" t="s">
        <v>897</v>
      </c>
    </row>
    <row r="13" spans="1:8" ht="30.45" customHeight="1" x14ac:dyDescent="0.3">
      <c r="A13" s="44" t="s">
        <v>898</v>
      </c>
      <c r="B13" s="45" t="s">
        <v>881</v>
      </c>
      <c r="C13" s="45" t="s">
        <v>899</v>
      </c>
      <c r="D13" s="45" t="s">
        <v>900</v>
      </c>
      <c r="E13" s="49">
        <v>1.95</v>
      </c>
      <c r="F13" s="45" t="s">
        <v>901</v>
      </c>
      <c r="G13" s="47" t="s">
        <v>212</v>
      </c>
      <c r="H13" s="46" t="s">
        <v>902</v>
      </c>
    </row>
    <row r="14" spans="1:8" ht="43.5" customHeight="1" x14ac:dyDescent="0.3">
      <c r="A14" s="44" t="s">
        <v>903</v>
      </c>
      <c r="B14" s="45" t="s">
        <v>881</v>
      </c>
      <c r="C14" s="45" t="s">
        <v>904</v>
      </c>
      <c r="D14" s="45" t="s">
        <v>905</v>
      </c>
      <c r="E14" s="50">
        <v>1580</v>
      </c>
      <c r="F14" s="45" t="s">
        <v>906</v>
      </c>
      <c r="G14" s="47" t="s">
        <v>212</v>
      </c>
      <c r="H14" s="46" t="s">
        <v>907</v>
      </c>
    </row>
    <row r="15" spans="1:8" ht="17.25" customHeight="1" x14ac:dyDescent="0.3">
      <c r="A15" s="44" t="s">
        <v>213</v>
      </c>
      <c r="B15" s="45" t="s">
        <v>881</v>
      </c>
      <c r="C15" s="45" t="s">
        <v>908</v>
      </c>
      <c r="D15" s="45" t="s">
        <v>905</v>
      </c>
      <c r="E15" s="50">
        <v>3020</v>
      </c>
      <c r="F15" s="45" t="s">
        <v>909</v>
      </c>
      <c r="G15" s="47" t="s">
        <v>212</v>
      </c>
      <c r="H15" s="46" t="s">
        <v>910</v>
      </c>
    </row>
    <row r="16" spans="1:8" ht="43.5" customHeight="1" x14ac:dyDescent="0.3">
      <c r="A16" s="44" t="s">
        <v>911</v>
      </c>
      <c r="B16" s="45" t="s">
        <v>881</v>
      </c>
      <c r="C16" s="45" t="s">
        <v>912</v>
      </c>
      <c r="D16" s="45" t="s">
        <v>905</v>
      </c>
      <c r="E16" s="50">
        <v>0</v>
      </c>
      <c r="F16" s="45" t="s">
        <v>913</v>
      </c>
      <c r="G16" s="47" t="s">
        <v>212</v>
      </c>
      <c r="H16" s="46" t="s">
        <v>914</v>
      </c>
    </row>
    <row r="17" spans="1:8" ht="17.25" customHeight="1" x14ac:dyDescent="0.3">
      <c r="A17" s="44" t="s">
        <v>915</v>
      </c>
      <c r="B17" s="45" t="s">
        <v>881</v>
      </c>
      <c r="C17" s="45" t="s">
        <v>916</v>
      </c>
      <c r="D17" s="45" t="s">
        <v>883</v>
      </c>
      <c r="E17" s="49">
        <v>2.27</v>
      </c>
      <c r="F17" s="45" t="s">
        <v>917</v>
      </c>
      <c r="G17" s="47" t="s">
        <v>212</v>
      </c>
      <c r="H17" s="46" t="s">
        <v>918</v>
      </c>
    </row>
    <row r="18" spans="1:8" ht="17.25" customHeight="1" x14ac:dyDescent="0.3">
      <c r="A18" s="44" t="s">
        <v>919</v>
      </c>
      <c r="B18" s="45" t="s">
        <v>920</v>
      </c>
      <c r="C18" s="45" t="s">
        <v>921</v>
      </c>
      <c r="D18" s="45" t="s">
        <v>888</v>
      </c>
      <c r="E18" s="49">
        <v>3.38</v>
      </c>
      <c r="F18" s="45" t="s">
        <v>922</v>
      </c>
      <c r="G18" s="47" t="s">
        <v>212</v>
      </c>
      <c r="H18" s="46" t="s">
        <v>923</v>
      </c>
    </row>
    <row r="19" spans="1:8" ht="16.95" customHeight="1" x14ac:dyDescent="0.3">
      <c r="A19" s="41" t="s">
        <v>924</v>
      </c>
      <c r="B19" s="42"/>
      <c r="C19" s="42"/>
      <c r="D19" s="42"/>
      <c r="E19" s="42"/>
      <c r="F19" s="42"/>
      <c r="G19" s="42"/>
      <c r="H19" s="42"/>
    </row>
    <row r="20" spans="1:8" ht="30.45" customHeight="1" x14ac:dyDescent="0.3">
      <c r="A20" s="44" t="s">
        <v>925</v>
      </c>
      <c r="B20" s="45" t="s">
        <v>926</v>
      </c>
      <c r="C20" s="45" t="s">
        <v>927</v>
      </c>
      <c r="D20" s="45" t="s">
        <v>883</v>
      </c>
      <c r="E20" s="49">
        <v>2.68</v>
      </c>
      <c r="F20" s="45" t="s">
        <v>856</v>
      </c>
      <c r="G20" s="47" t="s">
        <v>212</v>
      </c>
      <c r="H20" s="46" t="s">
        <v>928</v>
      </c>
    </row>
    <row r="21" spans="1:8" ht="30.45" customHeight="1" x14ac:dyDescent="0.3">
      <c r="A21" s="44" t="s">
        <v>929</v>
      </c>
      <c r="B21" s="45" t="s">
        <v>926</v>
      </c>
      <c r="C21" s="45" t="s">
        <v>930</v>
      </c>
      <c r="D21" s="45" t="s">
        <v>883</v>
      </c>
      <c r="E21" s="49">
        <v>2.27</v>
      </c>
      <c r="F21" s="45" t="s">
        <v>856</v>
      </c>
      <c r="G21" s="47" t="s">
        <v>212</v>
      </c>
      <c r="H21" s="46" t="s">
        <v>931</v>
      </c>
    </row>
    <row r="22" spans="1:8" ht="17.25" customHeight="1" x14ac:dyDescent="0.3">
      <c r="A22" s="44" t="s">
        <v>932</v>
      </c>
      <c r="B22" s="45" t="s">
        <v>926</v>
      </c>
      <c r="C22" s="45" t="s">
        <v>933</v>
      </c>
      <c r="D22" s="45" t="s">
        <v>888</v>
      </c>
      <c r="E22" s="49">
        <v>2.69</v>
      </c>
      <c r="F22" s="45" t="s">
        <v>901</v>
      </c>
      <c r="G22" s="47" t="s">
        <v>212</v>
      </c>
      <c r="H22" s="46" t="s">
        <v>934</v>
      </c>
    </row>
    <row r="23" spans="1:8" ht="17.25" customHeight="1" x14ac:dyDescent="0.3">
      <c r="A23" s="44" t="s">
        <v>935</v>
      </c>
      <c r="B23" s="45" t="s">
        <v>926</v>
      </c>
      <c r="C23" s="45" t="s">
        <v>936</v>
      </c>
      <c r="D23" s="45" t="s">
        <v>888</v>
      </c>
      <c r="E23" s="49">
        <v>2.98</v>
      </c>
      <c r="F23" s="45" t="s">
        <v>856</v>
      </c>
      <c r="G23" s="47" t="s">
        <v>212</v>
      </c>
      <c r="H23" s="46" t="s">
        <v>937</v>
      </c>
    </row>
    <row r="24" spans="1:8" ht="16.95" customHeight="1" x14ac:dyDescent="0.3">
      <c r="A24" s="41" t="s">
        <v>938</v>
      </c>
      <c r="B24" s="42"/>
      <c r="C24" s="42"/>
      <c r="D24" s="42"/>
      <c r="E24" s="42"/>
      <c r="F24" s="42"/>
      <c r="G24" s="42"/>
      <c r="H24" s="42"/>
    </row>
    <row r="25" spans="1:8" ht="30.45" customHeight="1" x14ac:dyDescent="0.3">
      <c r="A25" s="44" t="s">
        <v>939</v>
      </c>
      <c r="B25" s="45" t="s">
        <v>940</v>
      </c>
      <c r="C25" s="45" t="s">
        <v>941</v>
      </c>
      <c r="D25" s="45" t="s">
        <v>942</v>
      </c>
      <c r="E25" s="50">
        <v>1300</v>
      </c>
      <c r="F25" s="45" t="s">
        <v>943</v>
      </c>
      <c r="G25" s="47" t="s">
        <v>212</v>
      </c>
      <c r="H25" s="46" t="s">
        <v>944</v>
      </c>
    </row>
    <row r="26" spans="1:8" ht="17.25" customHeight="1" x14ac:dyDescent="0.3">
      <c r="A26" s="44" t="s">
        <v>945</v>
      </c>
      <c r="B26" s="45" t="s">
        <v>940</v>
      </c>
      <c r="C26" s="45" t="s">
        <v>946</v>
      </c>
      <c r="D26" s="45" t="s">
        <v>942</v>
      </c>
      <c r="E26" s="50">
        <v>1924</v>
      </c>
      <c r="F26" s="45" t="s">
        <v>943</v>
      </c>
      <c r="G26" s="47" t="s">
        <v>212</v>
      </c>
      <c r="H26" s="46" t="s">
        <v>947</v>
      </c>
    </row>
    <row r="27" spans="1:8" ht="17.25" customHeight="1" x14ac:dyDescent="0.3">
      <c r="A27" s="44" t="s">
        <v>948</v>
      </c>
      <c r="B27" s="45" t="s">
        <v>940</v>
      </c>
      <c r="C27" s="45" t="s">
        <v>949</v>
      </c>
      <c r="D27" s="45" t="s">
        <v>942</v>
      </c>
      <c r="E27" s="50">
        <v>677</v>
      </c>
      <c r="F27" s="45" t="s">
        <v>943</v>
      </c>
      <c r="G27" s="47" t="s">
        <v>212</v>
      </c>
      <c r="H27" s="46" t="s">
        <v>950</v>
      </c>
    </row>
    <row r="28" spans="1:8" ht="17.25" customHeight="1" x14ac:dyDescent="0.3">
      <c r="A28" s="44" t="s">
        <v>951</v>
      </c>
      <c r="B28" s="45" t="s">
        <v>940</v>
      </c>
      <c r="C28" s="45" t="s">
        <v>952</v>
      </c>
      <c r="D28" s="45" t="s">
        <v>942</v>
      </c>
      <c r="E28" s="50">
        <v>3943</v>
      </c>
      <c r="F28" s="45" t="s">
        <v>943</v>
      </c>
      <c r="G28" s="47" t="s">
        <v>212</v>
      </c>
      <c r="H28" s="46" t="s">
        <v>953</v>
      </c>
    </row>
    <row r="29" spans="1:8" ht="30.45" customHeight="1" x14ac:dyDescent="0.3">
      <c r="A29" s="44" t="s">
        <v>954</v>
      </c>
      <c r="B29" s="45" t="s">
        <v>940</v>
      </c>
      <c r="C29" s="45" t="s">
        <v>955</v>
      </c>
      <c r="D29" s="45" t="s">
        <v>942</v>
      </c>
      <c r="E29" s="50">
        <v>1760</v>
      </c>
      <c r="F29" s="45" t="s">
        <v>943</v>
      </c>
      <c r="G29" s="47" t="s">
        <v>212</v>
      </c>
      <c r="H29" s="46" t="s">
        <v>956</v>
      </c>
    </row>
    <row r="30" spans="1:8" ht="30.45" customHeight="1" x14ac:dyDescent="0.3">
      <c r="A30" s="44" t="s">
        <v>957</v>
      </c>
      <c r="B30" s="45" t="s">
        <v>920</v>
      </c>
      <c r="C30" s="45" t="s">
        <v>958</v>
      </c>
      <c r="D30" s="45" t="s">
        <v>959</v>
      </c>
      <c r="E30" s="50">
        <v>1</v>
      </c>
      <c r="F30" s="45" t="s">
        <v>856</v>
      </c>
      <c r="G30" s="47" t="s">
        <v>212</v>
      </c>
      <c r="H30" s="46" t="s">
        <v>960</v>
      </c>
    </row>
    <row r="31" spans="1:8" ht="17.25" customHeight="1" x14ac:dyDescent="0.3">
      <c r="A31" s="44" t="s">
        <v>961</v>
      </c>
      <c r="B31" s="45" t="s">
        <v>920</v>
      </c>
      <c r="C31" s="45" t="s">
        <v>962</v>
      </c>
      <c r="D31" s="45" t="s">
        <v>959</v>
      </c>
      <c r="E31" s="50">
        <v>23500</v>
      </c>
      <c r="F31" s="45" t="s">
        <v>943</v>
      </c>
      <c r="G31" s="47" t="s">
        <v>212</v>
      </c>
      <c r="H31" s="46" t="s">
        <v>963</v>
      </c>
    </row>
    <row r="32" spans="1:8" ht="16.95" customHeight="1" x14ac:dyDescent="0.3">
      <c r="A32" s="41" t="s">
        <v>964</v>
      </c>
      <c r="B32" s="42"/>
      <c r="C32" s="42"/>
      <c r="D32" s="42"/>
      <c r="E32" s="42"/>
      <c r="F32" s="42"/>
      <c r="G32" s="42"/>
      <c r="H32" s="42"/>
    </row>
    <row r="33" spans="1:8" ht="43.5" customHeight="1" x14ac:dyDescent="0.3">
      <c r="A33" s="44" t="s">
        <v>965</v>
      </c>
      <c r="B33" s="45" t="s">
        <v>966</v>
      </c>
      <c r="C33" s="45" t="s">
        <v>967</v>
      </c>
      <c r="D33" s="45" t="s">
        <v>905</v>
      </c>
      <c r="E33" s="50">
        <v>2550</v>
      </c>
      <c r="F33" s="45" t="s">
        <v>968</v>
      </c>
      <c r="G33" s="47" t="s">
        <v>821</v>
      </c>
      <c r="H33" s="46" t="s">
        <v>969</v>
      </c>
    </row>
    <row r="34" spans="1:8" ht="43.5" customHeight="1" x14ac:dyDescent="0.3">
      <c r="A34" s="44" t="s">
        <v>970</v>
      </c>
      <c r="B34" s="45" t="s">
        <v>966</v>
      </c>
      <c r="C34" s="45" t="s">
        <v>971</v>
      </c>
      <c r="D34" s="45" t="s">
        <v>905</v>
      </c>
      <c r="E34" s="50">
        <v>1200</v>
      </c>
      <c r="F34" s="45" t="s">
        <v>972</v>
      </c>
      <c r="G34" s="47" t="s">
        <v>821</v>
      </c>
      <c r="H34" s="46" t="s">
        <v>973</v>
      </c>
    </row>
    <row r="35" spans="1:8" ht="30.45" customHeight="1" x14ac:dyDescent="0.3">
      <c r="A35" s="44" t="s">
        <v>974</v>
      </c>
      <c r="B35" s="45" t="s">
        <v>966</v>
      </c>
      <c r="C35" s="45" t="s">
        <v>975</v>
      </c>
      <c r="D35" s="45" t="s">
        <v>905</v>
      </c>
      <c r="E35" s="50">
        <v>18000</v>
      </c>
      <c r="F35" s="45" t="s">
        <v>976</v>
      </c>
      <c r="G35" s="47" t="s">
        <v>821</v>
      </c>
      <c r="H35" s="46" t="s">
        <v>977</v>
      </c>
    </row>
    <row r="36" spans="1:8" ht="30.45" customHeight="1" x14ac:dyDescent="0.3">
      <c r="A36" s="44" t="s">
        <v>978</v>
      </c>
      <c r="B36" s="45" t="s">
        <v>966</v>
      </c>
      <c r="C36" s="45" t="s">
        <v>979</v>
      </c>
      <c r="D36" s="45" t="s">
        <v>905</v>
      </c>
      <c r="E36" s="50">
        <v>800</v>
      </c>
      <c r="F36" s="45" t="s">
        <v>980</v>
      </c>
      <c r="G36" s="47" t="s">
        <v>821</v>
      </c>
      <c r="H36" s="46" t="s">
        <v>981</v>
      </c>
    </row>
    <row r="37" spans="1:8" ht="30.45" customHeight="1" x14ac:dyDescent="0.3">
      <c r="A37" s="44" t="s">
        <v>982</v>
      </c>
      <c r="B37" s="45" t="s">
        <v>966</v>
      </c>
      <c r="C37" s="45" t="s">
        <v>983</v>
      </c>
      <c r="D37" s="45" t="s">
        <v>905</v>
      </c>
      <c r="E37" s="50">
        <v>4000</v>
      </c>
      <c r="F37" s="45" t="s">
        <v>984</v>
      </c>
      <c r="G37" s="47" t="s">
        <v>821</v>
      </c>
      <c r="H37" s="46" t="s">
        <v>985</v>
      </c>
    </row>
    <row r="38" spans="1:8" ht="30.45" customHeight="1" x14ac:dyDescent="0.3">
      <c r="A38" s="44" t="s">
        <v>986</v>
      </c>
      <c r="B38" s="45" t="s">
        <v>966</v>
      </c>
      <c r="C38" s="45" t="s">
        <v>987</v>
      </c>
      <c r="D38" s="45" t="s">
        <v>905</v>
      </c>
      <c r="E38" s="50">
        <v>3000</v>
      </c>
      <c r="F38" s="45" t="s">
        <v>988</v>
      </c>
      <c r="G38" s="47" t="s">
        <v>821</v>
      </c>
      <c r="H38" s="46" t="s">
        <v>989</v>
      </c>
    </row>
    <row r="39" spans="1:8" ht="30.45" customHeight="1" x14ac:dyDescent="0.3">
      <c r="A39" s="44" t="s">
        <v>836</v>
      </c>
      <c r="B39" s="45" t="s">
        <v>966</v>
      </c>
      <c r="C39" s="45" t="s">
        <v>990</v>
      </c>
      <c r="D39" s="45" t="s">
        <v>905</v>
      </c>
      <c r="E39" s="50">
        <v>2500</v>
      </c>
      <c r="F39" s="45" t="s">
        <v>991</v>
      </c>
      <c r="G39" s="47" t="s">
        <v>821</v>
      </c>
      <c r="H39" s="46" t="s">
        <v>992</v>
      </c>
    </row>
    <row r="40" spans="1:8" ht="30.45" customHeight="1" x14ac:dyDescent="0.3">
      <c r="A40" s="44" t="s">
        <v>993</v>
      </c>
      <c r="B40" s="45" t="s">
        <v>966</v>
      </c>
      <c r="C40" s="45" t="s">
        <v>994</v>
      </c>
      <c r="D40" s="45" t="s">
        <v>905</v>
      </c>
      <c r="E40" s="50">
        <v>2600</v>
      </c>
      <c r="F40" s="45" t="s">
        <v>995</v>
      </c>
      <c r="G40" s="47" t="s">
        <v>821</v>
      </c>
      <c r="H40" s="46" t="s">
        <v>996</v>
      </c>
    </row>
    <row r="41" spans="1:8" ht="30.45" customHeight="1" x14ac:dyDescent="0.3">
      <c r="A41" s="44" t="s">
        <v>997</v>
      </c>
      <c r="B41" s="45" t="s">
        <v>966</v>
      </c>
      <c r="C41" s="45" t="s">
        <v>998</v>
      </c>
      <c r="D41" s="45" t="s">
        <v>905</v>
      </c>
      <c r="E41" s="50">
        <v>2000</v>
      </c>
      <c r="F41" s="45" t="s">
        <v>999</v>
      </c>
      <c r="G41" s="47" t="s">
        <v>821</v>
      </c>
      <c r="H41" s="46" t="s">
        <v>1000</v>
      </c>
    </row>
    <row r="42" spans="1:8" ht="17.25" customHeight="1" x14ac:dyDescent="0.3">
      <c r="A42" s="44" t="s">
        <v>1001</v>
      </c>
      <c r="B42" s="45" t="s">
        <v>966</v>
      </c>
      <c r="C42" s="45" t="s">
        <v>1002</v>
      </c>
      <c r="D42" s="45" t="s">
        <v>905</v>
      </c>
      <c r="E42" s="50">
        <v>1200</v>
      </c>
      <c r="F42" s="45" t="s">
        <v>1003</v>
      </c>
      <c r="G42" s="47" t="s">
        <v>821</v>
      </c>
      <c r="H42" s="46" t="s">
        <v>1004</v>
      </c>
    </row>
    <row r="43" spans="1:8" ht="16.95" customHeight="1" x14ac:dyDescent="0.3">
      <c r="A43" s="41" t="s">
        <v>1005</v>
      </c>
      <c r="B43" s="42"/>
      <c r="C43" s="42"/>
      <c r="D43" s="42"/>
      <c r="E43" s="42"/>
      <c r="F43" s="42"/>
      <c r="G43" s="42"/>
      <c r="H43" s="42"/>
    </row>
    <row r="44" spans="1:8" ht="30.45" customHeight="1" x14ac:dyDescent="0.3">
      <c r="A44" s="44" t="s">
        <v>849</v>
      </c>
      <c r="B44" s="45" t="s">
        <v>1006</v>
      </c>
      <c r="C44" s="45" t="s">
        <v>1007</v>
      </c>
      <c r="D44" s="45" t="s">
        <v>1008</v>
      </c>
      <c r="E44" s="51">
        <v>7.0000000000000007E-2</v>
      </c>
      <c r="F44" s="45" t="s">
        <v>1009</v>
      </c>
      <c r="G44" s="47" t="s">
        <v>821</v>
      </c>
      <c r="H44" s="46" t="s">
        <v>1010</v>
      </c>
    </row>
    <row r="45" spans="1:8" ht="30.45" customHeight="1" x14ac:dyDescent="0.3">
      <c r="A45" s="44" t="s">
        <v>1011</v>
      </c>
      <c r="B45" s="45" t="s">
        <v>1006</v>
      </c>
      <c r="C45" s="45" t="s">
        <v>1012</v>
      </c>
      <c r="D45" s="45" t="s">
        <v>1008</v>
      </c>
      <c r="E45" s="51">
        <v>0.25</v>
      </c>
      <c r="F45" s="45" t="s">
        <v>1009</v>
      </c>
      <c r="G45" s="47" t="s">
        <v>821</v>
      </c>
      <c r="H45" s="46" t="s">
        <v>1013</v>
      </c>
    </row>
    <row r="46" spans="1:8" ht="30.45" customHeight="1" x14ac:dyDescent="0.3">
      <c r="A46" s="44" t="s">
        <v>1014</v>
      </c>
      <c r="B46" s="45" t="s">
        <v>1006</v>
      </c>
      <c r="C46" s="45" t="s">
        <v>1015</v>
      </c>
      <c r="D46" s="45" t="s">
        <v>1008</v>
      </c>
      <c r="E46" s="51">
        <v>0.01</v>
      </c>
      <c r="F46" s="45" t="s">
        <v>1016</v>
      </c>
      <c r="G46" s="47" t="s">
        <v>821</v>
      </c>
      <c r="H46" s="46" t="s">
        <v>1017</v>
      </c>
    </row>
    <row r="47" spans="1:8" ht="30.45" customHeight="1" x14ac:dyDescent="0.3">
      <c r="A47" s="44" t="s">
        <v>1018</v>
      </c>
      <c r="B47" s="45" t="s">
        <v>1006</v>
      </c>
      <c r="C47" s="45" t="s">
        <v>1019</v>
      </c>
      <c r="D47" s="45" t="s">
        <v>1008</v>
      </c>
      <c r="E47" s="51">
        <v>1.2E-2</v>
      </c>
      <c r="F47" s="45" t="s">
        <v>1009</v>
      </c>
      <c r="G47" s="47" t="s">
        <v>821</v>
      </c>
      <c r="H47" s="46" t="s">
        <v>1020</v>
      </c>
    </row>
    <row r="48" spans="1:8" ht="30.45" customHeight="1" x14ac:dyDescent="0.3">
      <c r="A48" s="44" t="s">
        <v>1021</v>
      </c>
      <c r="B48" s="45" t="s">
        <v>1006</v>
      </c>
      <c r="C48" s="45" t="s">
        <v>1022</v>
      </c>
      <c r="D48" s="45" t="s">
        <v>1008</v>
      </c>
      <c r="E48" s="51">
        <v>0.6</v>
      </c>
      <c r="F48" s="45" t="s">
        <v>1009</v>
      </c>
      <c r="G48" s="47" t="s">
        <v>821</v>
      </c>
      <c r="H48" s="46" t="s">
        <v>1023</v>
      </c>
    </row>
    <row r="50" spans="1:8" ht="16.95" customHeight="1" x14ac:dyDescent="0.3">
      <c r="A50" s="41" t="s">
        <v>1024</v>
      </c>
      <c r="B50" s="42"/>
      <c r="C50" s="42"/>
      <c r="D50" s="42"/>
      <c r="E50" s="42"/>
      <c r="F50" s="42"/>
      <c r="G50" s="42"/>
      <c r="H50" s="42"/>
    </row>
    <row r="51" spans="1:8" ht="25.95" customHeight="1" x14ac:dyDescent="0.3">
      <c r="A51" s="91" t="s">
        <v>1025</v>
      </c>
      <c r="B51" s="92"/>
      <c r="C51" s="92"/>
      <c r="D51" s="92"/>
      <c r="E51" s="92"/>
      <c r="F51" s="92"/>
      <c r="G51" s="92"/>
      <c r="H51" s="92"/>
    </row>
    <row r="52" spans="1:8" ht="28.05" customHeight="1" x14ac:dyDescent="0.3">
      <c r="A52" s="40"/>
      <c r="B52" s="40" t="s">
        <v>1026</v>
      </c>
      <c r="C52" s="40" t="s">
        <v>1027</v>
      </c>
      <c r="D52" s="40" t="s">
        <v>863</v>
      </c>
      <c r="E52" s="40" t="s">
        <v>1028</v>
      </c>
      <c r="F52" s="40" t="s">
        <v>1029</v>
      </c>
      <c r="G52" s="40" t="s">
        <v>866</v>
      </c>
      <c r="H52" s="40" t="s">
        <v>1030</v>
      </c>
    </row>
    <row r="53" spans="1:8" x14ac:dyDescent="0.3">
      <c r="B53" s="52" t="s">
        <v>764</v>
      </c>
      <c r="C53" s="53">
        <v>3000</v>
      </c>
      <c r="D53" s="52" t="s">
        <v>1031</v>
      </c>
      <c r="E53" s="54">
        <f>E5</f>
        <v>0.7117</v>
      </c>
      <c r="F53" s="55" t="s">
        <v>1032</v>
      </c>
      <c r="G53" s="56" t="s">
        <v>203</v>
      </c>
      <c r="H53" s="57">
        <f>C53*E5</f>
        <v>2135.1</v>
      </c>
    </row>
    <row r="54" spans="1:8" x14ac:dyDescent="0.3">
      <c r="B54" s="52" t="s">
        <v>1033</v>
      </c>
      <c r="C54" s="53">
        <v>40</v>
      </c>
      <c r="D54" s="52" t="s">
        <v>1034</v>
      </c>
      <c r="E54" s="54">
        <f>E9</f>
        <v>2.68</v>
      </c>
      <c r="F54" s="55" t="s">
        <v>1035</v>
      </c>
      <c r="G54" s="56" t="s">
        <v>212</v>
      </c>
      <c r="H54" s="57">
        <f>C54*E9</f>
        <v>107.2</v>
      </c>
    </row>
    <row r="55" spans="1:8" x14ac:dyDescent="0.3">
      <c r="B55" s="52" t="s">
        <v>1036</v>
      </c>
      <c r="C55" s="53">
        <v>120</v>
      </c>
      <c r="D55" s="52" t="s">
        <v>1037</v>
      </c>
      <c r="E55" s="54">
        <f>E10</f>
        <v>3.13</v>
      </c>
      <c r="F55" s="55" t="s">
        <v>1038</v>
      </c>
      <c r="G55" s="56" t="s">
        <v>212</v>
      </c>
      <c r="H55" s="57">
        <f>C55*E10</f>
        <v>375.59999999999997</v>
      </c>
    </row>
    <row r="56" spans="1:8" x14ac:dyDescent="0.3">
      <c r="B56" s="52" t="s">
        <v>1039</v>
      </c>
      <c r="C56" s="53">
        <v>0</v>
      </c>
      <c r="D56" s="52" t="s">
        <v>1040</v>
      </c>
      <c r="E56" s="54">
        <f>E13</f>
        <v>1.95</v>
      </c>
      <c r="F56" s="55" t="s">
        <v>1041</v>
      </c>
      <c r="G56" s="56" t="s">
        <v>212</v>
      </c>
      <c r="H56" s="57">
        <f>C56*E13</f>
        <v>0</v>
      </c>
    </row>
    <row r="57" spans="1:8" x14ac:dyDescent="0.3">
      <c r="B57" s="52" t="s">
        <v>1042</v>
      </c>
      <c r="C57" s="53">
        <v>60</v>
      </c>
      <c r="D57" s="52" t="s">
        <v>1037</v>
      </c>
      <c r="E57" s="54">
        <f>E12</f>
        <v>2.98</v>
      </c>
      <c r="F57" s="55" t="s">
        <v>1038</v>
      </c>
      <c r="G57" s="56" t="s">
        <v>212</v>
      </c>
      <c r="H57" s="57">
        <f>C57*E12</f>
        <v>178.8</v>
      </c>
    </row>
    <row r="58" spans="1:8" x14ac:dyDescent="0.3">
      <c r="B58" s="52" t="s">
        <v>1043</v>
      </c>
      <c r="C58" s="53">
        <v>0</v>
      </c>
      <c r="D58" s="52" t="s">
        <v>1037</v>
      </c>
      <c r="E58" s="58">
        <f>E14</f>
        <v>1580</v>
      </c>
      <c r="F58" s="55" t="s">
        <v>1044</v>
      </c>
      <c r="G58" s="56" t="s">
        <v>212</v>
      </c>
      <c r="H58" s="57">
        <f>C58*E14/1000</f>
        <v>0</v>
      </c>
    </row>
    <row r="59" spans="1:8" x14ac:dyDescent="0.3">
      <c r="B59" s="59" t="s">
        <v>1045</v>
      </c>
      <c r="H59" s="60">
        <f>SUM(H54:H58)</f>
        <v>661.59999999999991</v>
      </c>
    </row>
    <row r="60" spans="1:8" x14ac:dyDescent="0.3">
      <c r="B60" s="59" t="s">
        <v>1046</v>
      </c>
      <c r="H60" s="60">
        <f>H53</f>
        <v>2135.1</v>
      </c>
    </row>
    <row r="61" spans="1:8" x14ac:dyDescent="0.3">
      <c r="B61" s="59" t="s">
        <v>1047</v>
      </c>
      <c r="H61" s="60">
        <f>H59+H60</f>
        <v>2796.7</v>
      </c>
    </row>
    <row r="63" spans="1:8" x14ac:dyDescent="0.3">
      <c r="B63" s="59" t="s">
        <v>1048</v>
      </c>
      <c r="H63" s="60">
        <f>H61/'Client Inputs'!$B$6</f>
        <v>11.1868</v>
      </c>
    </row>
    <row r="64" spans="1:8" x14ac:dyDescent="0.3">
      <c r="B64" s="52" t="s">
        <v>1049</v>
      </c>
      <c r="H64" s="61">
        <f>'Client Inputs'!$B$13</f>
        <v>45</v>
      </c>
    </row>
    <row r="66" spans="1:8" ht="25.95" customHeight="1" x14ac:dyDescent="0.3">
      <c r="A66" s="91" t="s">
        <v>1050</v>
      </c>
      <c r="B66" s="92"/>
      <c r="C66" s="92"/>
      <c r="D66" s="92"/>
      <c r="E66" s="92"/>
      <c r="F66" s="92"/>
      <c r="G66" s="92"/>
      <c r="H66" s="92"/>
    </row>
  </sheetData>
  <mergeCells count="3">
    <mergeCell ref="A2:H2"/>
    <mergeCell ref="A51:H51"/>
    <mergeCell ref="A66:H6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DE18-68D7-40B8-AC14-45109D63571B}">
  <dimension ref="A1:P47"/>
  <sheetViews>
    <sheetView workbookViewId="0"/>
  </sheetViews>
  <sheetFormatPr defaultRowHeight="14.4" x14ac:dyDescent="0.3"/>
  <cols>
    <col min="1" max="1" width="2" style="39" customWidth="1"/>
    <col min="2" max="2" width="17" style="39" customWidth="1"/>
    <col min="3" max="3" width="3.5546875" style="39" customWidth="1"/>
    <col min="4" max="4" width="17" style="39" customWidth="1"/>
    <col min="5" max="5" width="3.5546875" style="39" customWidth="1"/>
    <col min="6" max="6" width="17" style="39" customWidth="1"/>
    <col min="7" max="7" width="3.5546875" style="39" customWidth="1"/>
    <col min="8" max="8" width="17" style="39" customWidth="1"/>
    <col min="9" max="9" width="3.5546875" style="39" customWidth="1"/>
    <col min="10" max="10" width="17" style="39" customWidth="1"/>
    <col min="11" max="11" width="3.5546875" style="39" customWidth="1"/>
    <col min="12" max="12" width="17" style="39" customWidth="1"/>
    <col min="13" max="13" width="3.5546875" style="39" customWidth="1"/>
    <col min="14" max="14" width="17" style="39" customWidth="1"/>
    <col min="15" max="15" width="3.5546875" style="39" customWidth="1"/>
    <col min="16" max="16" width="17" style="39" customWidth="1"/>
    <col min="17" max="16384" width="8.88671875" style="39"/>
  </cols>
  <sheetData>
    <row r="1" spans="1:16" ht="22.05" customHeight="1" x14ac:dyDescent="0.35">
      <c r="A1" s="37" t="s">
        <v>1051</v>
      </c>
      <c r="B1" s="38"/>
      <c r="C1" s="38"/>
      <c r="D1" s="38"/>
      <c r="E1" s="38"/>
      <c r="F1" s="38"/>
      <c r="G1" s="38"/>
      <c r="H1" s="38"/>
      <c r="I1" s="38"/>
      <c r="J1" s="38"/>
      <c r="K1" s="38"/>
      <c r="L1" s="38"/>
      <c r="M1" s="38"/>
      <c r="N1" s="38"/>
      <c r="O1" s="38"/>
      <c r="P1" s="38"/>
    </row>
    <row r="2" spans="1:16" ht="25.95" customHeight="1" x14ac:dyDescent="0.3">
      <c r="B2" s="91" t="s">
        <v>1052</v>
      </c>
      <c r="C2" s="92"/>
      <c r="D2" s="92"/>
      <c r="E2" s="92"/>
      <c r="F2" s="92"/>
      <c r="G2" s="92"/>
      <c r="H2" s="92"/>
      <c r="I2" s="92"/>
      <c r="J2" s="92"/>
      <c r="K2" s="92"/>
      <c r="L2" s="92"/>
      <c r="M2" s="92"/>
      <c r="N2" s="92"/>
      <c r="O2" s="92"/>
      <c r="P2" s="92"/>
    </row>
    <row r="3" spans="1:16" ht="24" customHeight="1" x14ac:dyDescent="0.3">
      <c r="B3" s="62" t="s">
        <v>1053</v>
      </c>
      <c r="D3" s="63" t="s">
        <v>1054</v>
      </c>
      <c r="F3" s="64" t="s">
        <v>1055</v>
      </c>
    </row>
    <row r="5" spans="1:16" ht="16.95" customHeight="1" x14ac:dyDescent="0.3">
      <c r="B5" s="41" t="s">
        <v>1056</v>
      </c>
      <c r="C5" s="42"/>
      <c r="D5" s="42"/>
      <c r="E5" s="42"/>
      <c r="F5" s="42"/>
      <c r="G5" s="42"/>
      <c r="H5" s="42"/>
      <c r="I5" s="42"/>
      <c r="J5" s="42"/>
      <c r="K5" s="42"/>
      <c r="L5" s="42"/>
      <c r="M5" s="42"/>
      <c r="N5" s="42"/>
      <c r="O5" s="42"/>
      <c r="P5" s="42"/>
    </row>
    <row r="6" spans="1:16" ht="30.45" customHeight="1" x14ac:dyDescent="0.3">
      <c r="D6" s="65" t="s">
        <v>1057</v>
      </c>
      <c r="F6" s="65" t="s">
        <v>326</v>
      </c>
      <c r="H6" s="65" t="s">
        <v>466</v>
      </c>
      <c r="J6" s="65" t="s">
        <v>1058</v>
      </c>
      <c r="L6" s="65" t="s">
        <v>326</v>
      </c>
      <c r="P6" s="65" t="s">
        <v>1059</v>
      </c>
    </row>
    <row r="7" spans="1:16" ht="13.95" customHeight="1" x14ac:dyDescent="0.3">
      <c r="D7" s="66" t="s">
        <v>1060</v>
      </c>
      <c r="F7" s="66" t="s">
        <v>1060</v>
      </c>
      <c r="H7" s="66" t="s">
        <v>1060</v>
      </c>
      <c r="J7" s="66" t="s">
        <v>1060</v>
      </c>
      <c r="L7" s="66" t="s">
        <v>1060</v>
      </c>
      <c r="P7" s="66" t="s">
        <v>1060</v>
      </c>
    </row>
    <row r="8" spans="1:16" ht="46.05" customHeight="1" x14ac:dyDescent="0.3">
      <c r="B8" s="62" t="s">
        <v>1061</v>
      </c>
      <c r="C8" s="66" t="s">
        <v>1062</v>
      </c>
      <c r="D8" s="62" t="s">
        <v>1063</v>
      </c>
      <c r="E8" s="66" t="s">
        <v>1062</v>
      </c>
      <c r="F8" s="62" t="s">
        <v>1064</v>
      </c>
      <c r="G8" s="66" t="s">
        <v>1062</v>
      </c>
      <c r="H8" s="62" t="s">
        <v>1065</v>
      </c>
      <c r="I8" s="66" t="s">
        <v>1062</v>
      </c>
      <c r="J8" s="62" t="s">
        <v>1066</v>
      </c>
      <c r="K8" s="66" t="s">
        <v>1062</v>
      </c>
      <c r="L8" s="62" t="s">
        <v>1067</v>
      </c>
      <c r="M8" s="66" t="s">
        <v>1062</v>
      </c>
      <c r="N8" s="62" t="s">
        <v>832</v>
      </c>
      <c r="O8" s="66" t="s">
        <v>1062</v>
      </c>
      <c r="P8" s="62" t="s">
        <v>1068</v>
      </c>
    </row>
    <row r="9" spans="1:16" ht="30.45" customHeight="1" x14ac:dyDescent="0.3">
      <c r="B9" s="67" t="s">
        <v>1069</v>
      </c>
      <c r="D9" s="67" t="s">
        <v>1070</v>
      </c>
      <c r="F9" s="67" t="s">
        <v>203</v>
      </c>
      <c r="H9" s="67" t="s">
        <v>1070</v>
      </c>
      <c r="J9" s="67" t="s">
        <v>1071</v>
      </c>
      <c r="L9" s="67" t="s">
        <v>203</v>
      </c>
      <c r="N9" s="67" t="s">
        <v>1072</v>
      </c>
      <c r="P9" s="67" t="s">
        <v>1073</v>
      </c>
    </row>
    <row r="11" spans="1:16" ht="16.95" customHeight="1" x14ac:dyDescent="0.3">
      <c r="B11" s="41" t="s">
        <v>1074</v>
      </c>
      <c r="C11" s="42"/>
      <c r="D11" s="42"/>
      <c r="E11" s="42"/>
      <c r="F11" s="42"/>
      <c r="G11" s="42"/>
      <c r="H11" s="42"/>
      <c r="I11" s="42"/>
      <c r="J11" s="42"/>
      <c r="K11" s="42"/>
      <c r="L11" s="42"/>
      <c r="M11" s="42"/>
      <c r="N11" s="42"/>
      <c r="O11" s="42"/>
      <c r="P11" s="42"/>
    </row>
    <row r="12" spans="1:16" ht="43.5" customHeight="1" x14ac:dyDescent="0.3">
      <c r="D12" s="65" t="s">
        <v>326</v>
      </c>
      <c r="F12" s="65" t="s">
        <v>1075</v>
      </c>
      <c r="H12" s="65" t="s">
        <v>1076</v>
      </c>
      <c r="L12" s="65" t="s">
        <v>1077</v>
      </c>
      <c r="N12" s="65" t="s">
        <v>326</v>
      </c>
      <c r="P12" s="65" t="s">
        <v>1078</v>
      </c>
    </row>
    <row r="13" spans="1:16" ht="13.95" customHeight="1" x14ac:dyDescent="0.3">
      <c r="D13" s="66" t="s">
        <v>1060</v>
      </c>
      <c r="F13" s="66" t="s">
        <v>1060</v>
      </c>
      <c r="H13" s="66" t="s">
        <v>1060</v>
      </c>
      <c r="L13" s="66" t="s">
        <v>1060</v>
      </c>
      <c r="N13" s="66" t="s">
        <v>1060</v>
      </c>
      <c r="P13" s="66" t="s">
        <v>1060</v>
      </c>
    </row>
    <row r="14" spans="1:16" ht="46.05" customHeight="1" x14ac:dyDescent="0.3">
      <c r="B14" s="62" t="s">
        <v>1079</v>
      </c>
      <c r="C14" s="66" t="s">
        <v>1062</v>
      </c>
      <c r="D14" s="62" t="s">
        <v>1080</v>
      </c>
      <c r="E14" s="66" t="s">
        <v>1062</v>
      </c>
      <c r="F14" s="62" t="s">
        <v>1081</v>
      </c>
      <c r="G14" s="66" t="s">
        <v>1062</v>
      </c>
      <c r="H14" s="62" t="s">
        <v>1082</v>
      </c>
      <c r="I14" s="66" t="s">
        <v>1062</v>
      </c>
      <c r="J14" s="62" t="s">
        <v>1083</v>
      </c>
      <c r="K14" s="66" t="s">
        <v>1062</v>
      </c>
      <c r="L14" s="62" t="s">
        <v>1084</v>
      </c>
      <c r="M14" s="66" t="s">
        <v>1062</v>
      </c>
      <c r="N14" s="62" t="s">
        <v>1085</v>
      </c>
      <c r="O14" s="66" t="s">
        <v>1062</v>
      </c>
      <c r="P14" s="62" t="s">
        <v>1086</v>
      </c>
    </row>
    <row r="15" spans="1:16" ht="43.5" customHeight="1" x14ac:dyDescent="0.3">
      <c r="B15" s="67" t="s">
        <v>1087</v>
      </c>
      <c r="D15" s="67" t="s">
        <v>203</v>
      </c>
      <c r="F15" s="67" t="s">
        <v>1088</v>
      </c>
      <c r="H15" s="67" t="s">
        <v>203</v>
      </c>
      <c r="J15" s="67" t="s">
        <v>856</v>
      </c>
      <c r="L15" s="67" t="s">
        <v>1071</v>
      </c>
      <c r="N15" s="67" t="s">
        <v>203</v>
      </c>
      <c r="P15" s="67" t="s">
        <v>1071</v>
      </c>
    </row>
    <row r="17" spans="2:16" ht="16.95" customHeight="1" x14ac:dyDescent="0.3">
      <c r="B17" s="41" t="s">
        <v>1089</v>
      </c>
      <c r="C17" s="42"/>
      <c r="D17" s="42"/>
      <c r="E17" s="42"/>
      <c r="F17" s="42"/>
      <c r="G17" s="42"/>
      <c r="H17" s="42"/>
      <c r="I17" s="42"/>
      <c r="J17" s="42"/>
      <c r="K17" s="42"/>
      <c r="L17" s="42"/>
      <c r="M17" s="42"/>
      <c r="N17" s="42"/>
      <c r="O17" s="42"/>
      <c r="P17" s="42"/>
    </row>
    <row r="18" spans="2:16" ht="43.5" customHeight="1" x14ac:dyDescent="0.3">
      <c r="D18" s="65" t="s">
        <v>326</v>
      </c>
      <c r="F18" s="65" t="s">
        <v>1090</v>
      </c>
      <c r="H18" s="65" t="s">
        <v>326</v>
      </c>
      <c r="J18" s="65" t="s">
        <v>326</v>
      </c>
      <c r="L18" s="65" t="s">
        <v>1091</v>
      </c>
      <c r="N18" s="65" t="s">
        <v>326</v>
      </c>
    </row>
    <row r="19" spans="2:16" ht="13.95" customHeight="1" x14ac:dyDescent="0.3">
      <c r="D19" s="66" t="s">
        <v>1060</v>
      </c>
      <c r="F19" s="66" t="s">
        <v>1060</v>
      </c>
      <c r="H19" s="66" t="s">
        <v>1060</v>
      </c>
      <c r="J19" s="66" t="s">
        <v>1060</v>
      </c>
      <c r="L19" s="66" t="s">
        <v>1060</v>
      </c>
      <c r="N19" s="66" t="s">
        <v>1060</v>
      </c>
    </row>
    <row r="20" spans="2:16" ht="46.05" customHeight="1" x14ac:dyDescent="0.3">
      <c r="B20" s="62" t="s">
        <v>1092</v>
      </c>
      <c r="C20" s="66" t="s">
        <v>1062</v>
      </c>
      <c r="D20" s="62" t="s">
        <v>1093</v>
      </c>
      <c r="E20" s="66" t="s">
        <v>1062</v>
      </c>
      <c r="F20" s="62" t="s">
        <v>1094</v>
      </c>
      <c r="G20" s="66" t="s">
        <v>1062</v>
      </c>
      <c r="H20" s="62" t="s">
        <v>1095</v>
      </c>
      <c r="I20" s="66" t="s">
        <v>1062</v>
      </c>
      <c r="J20" s="62" t="s">
        <v>1096</v>
      </c>
      <c r="K20" s="66" t="s">
        <v>1062</v>
      </c>
      <c r="L20" s="62" t="s">
        <v>1097</v>
      </c>
      <c r="M20" s="66" t="s">
        <v>1062</v>
      </c>
      <c r="N20" s="62" t="s">
        <v>1098</v>
      </c>
      <c r="O20" s="66" t="s">
        <v>1062</v>
      </c>
      <c r="P20" s="62" t="s">
        <v>1099</v>
      </c>
    </row>
    <row r="21" spans="2:16" ht="30.45" customHeight="1" x14ac:dyDescent="0.3">
      <c r="B21" s="67" t="s">
        <v>1100</v>
      </c>
      <c r="D21" s="67" t="s">
        <v>203</v>
      </c>
      <c r="F21" s="67" t="s">
        <v>1101</v>
      </c>
      <c r="H21" s="67" t="s">
        <v>203</v>
      </c>
      <c r="J21" s="67" t="s">
        <v>203</v>
      </c>
      <c r="L21" s="67" t="s">
        <v>1070</v>
      </c>
      <c r="N21" s="67" t="s">
        <v>203</v>
      </c>
      <c r="P21" s="67" t="s">
        <v>856</v>
      </c>
    </row>
    <row r="23" spans="2:16" ht="16.95" customHeight="1" x14ac:dyDescent="0.3">
      <c r="B23" s="41" t="s">
        <v>1102</v>
      </c>
      <c r="C23" s="42"/>
      <c r="D23" s="42"/>
      <c r="E23" s="42"/>
      <c r="F23" s="42"/>
      <c r="G23" s="42"/>
      <c r="H23" s="42"/>
      <c r="I23" s="42"/>
      <c r="J23" s="42"/>
      <c r="K23" s="42"/>
      <c r="L23" s="42"/>
      <c r="M23" s="42"/>
      <c r="N23" s="42"/>
      <c r="O23" s="42"/>
      <c r="P23" s="42"/>
    </row>
    <row r="24" spans="2:16" ht="30.45" customHeight="1" x14ac:dyDescent="0.3">
      <c r="D24" s="65" t="s">
        <v>326</v>
      </c>
      <c r="F24" s="65" t="s">
        <v>1103</v>
      </c>
      <c r="H24" s="65" t="s">
        <v>1104</v>
      </c>
      <c r="J24" s="65" t="s">
        <v>1105</v>
      </c>
      <c r="L24" s="65" t="s">
        <v>1106</v>
      </c>
      <c r="N24" s="65" t="s">
        <v>326</v>
      </c>
    </row>
    <row r="25" spans="2:16" ht="13.95" customHeight="1" x14ac:dyDescent="0.3">
      <c r="D25" s="66" t="s">
        <v>1060</v>
      </c>
      <c r="F25" s="66" t="s">
        <v>1060</v>
      </c>
      <c r="H25" s="66" t="s">
        <v>1060</v>
      </c>
      <c r="J25" s="66" t="s">
        <v>1060</v>
      </c>
      <c r="L25" s="66" t="s">
        <v>1060</v>
      </c>
      <c r="N25" s="66" t="s">
        <v>1060</v>
      </c>
    </row>
    <row r="26" spans="2:16" ht="46.05" customHeight="1" x14ac:dyDescent="0.3">
      <c r="B26" s="62" t="s">
        <v>1107</v>
      </c>
      <c r="C26" s="66" t="s">
        <v>1062</v>
      </c>
      <c r="D26" s="62" t="s">
        <v>1108</v>
      </c>
      <c r="E26" s="66" t="s">
        <v>1062</v>
      </c>
      <c r="F26" s="62" t="s">
        <v>382</v>
      </c>
      <c r="G26" s="66" t="s">
        <v>1062</v>
      </c>
      <c r="H26" s="62" t="s">
        <v>1109</v>
      </c>
      <c r="I26" s="66" t="s">
        <v>1062</v>
      </c>
      <c r="J26" s="62" t="s">
        <v>1110</v>
      </c>
      <c r="K26" s="66" t="s">
        <v>1062</v>
      </c>
      <c r="L26" s="62" t="s">
        <v>1111</v>
      </c>
      <c r="M26" s="66" t="s">
        <v>1062</v>
      </c>
      <c r="N26" s="62" t="s">
        <v>1112</v>
      </c>
      <c r="O26" s="66" t="s">
        <v>1062</v>
      </c>
      <c r="P26" s="62" t="s">
        <v>1099</v>
      </c>
    </row>
    <row r="27" spans="2:16" ht="24" customHeight="1" x14ac:dyDescent="0.3">
      <c r="B27" s="67" t="s">
        <v>1113</v>
      </c>
      <c r="D27" s="67" t="s">
        <v>1114</v>
      </c>
      <c r="F27" s="67" t="s">
        <v>203</v>
      </c>
      <c r="H27" s="67" t="s">
        <v>203</v>
      </c>
      <c r="J27" s="67" t="s">
        <v>1115</v>
      </c>
      <c r="L27" s="67" t="s">
        <v>1116</v>
      </c>
      <c r="N27" s="67" t="s">
        <v>203</v>
      </c>
      <c r="P27" s="67" t="s">
        <v>856</v>
      </c>
    </row>
    <row r="29" spans="2:16" ht="16.95" customHeight="1" x14ac:dyDescent="0.3">
      <c r="B29" s="41" t="s">
        <v>1117</v>
      </c>
      <c r="C29" s="42"/>
      <c r="D29" s="42"/>
      <c r="E29" s="42"/>
      <c r="F29" s="42"/>
      <c r="G29" s="42"/>
      <c r="H29" s="42"/>
      <c r="I29" s="42"/>
      <c r="J29" s="42"/>
      <c r="K29" s="42"/>
      <c r="L29" s="42"/>
      <c r="M29" s="42"/>
      <c r="N29" s="42"/>
      <c r="O29" s="42"/>
      <c r="P29" s="42"/>
    </row>
    <row r="30" spans="2:16" ht="30.45" customHeight="1" x14ac:dyDescent="0.3">
      <c r="D30" s="65" t="s">
        <v>1118</v>
      </c>
      <c r="F30" s="65" t="s">
        <v>1119</v>
      </c>
      <c r="H30" s="65" t="s">
        <v>326</v>
      </c>
      <c r="J30" s="65" t="s">
        <v>1058</v>
      </c>
      <c r="L30" s="65" t="s">
        <v>326</v>
      </c>
    </row>
    <row r="31" spans="2:16" ht="13.95" customHeight="1" x14ac:dyDescent="0.3">
      <c r="D31" s="66" t="s">
        <v>1060</v>
      </c>
      <c r="F31" s="66" t="s">
        <v>1060</v>
      </c>
      <c r="H31" s="66" t="s">
        <v>1060</v>
      </c>
      <c r="J31" s="66" t="s">
        <v>1060</v>
      </c>
      <c r="L31" s="66" t="s">
        <v>1060</v>
      </c>
    </row>
    <row r="32" spans="2:16" ht="46.05" customHeight="1" x14ac:dyDescent="0.3">
      <c r="B32" s="62" t="s">
        <v>1120</v>
      </c>
      <c r="C32" s="66" t="s">
        <v>1062</v>
      </c>
      <c r="D32" s="62" t="s">
        <v>1121</v>
      </c>
      <c r="E32" s="66" t="s">
        <v>1062</v>
      </c>
      <c r="F32" s="62" t="s">
        <v>1122</v>
      </c>
      <c r="G32" s="66" t="s">
        <v>1062</v>
      </c>
      <c r="H32" s="62" t="s">
        <v>1123</v>
      </c>
      <c r="I32" s="66" t="s">
        <v>1062</v>
      </c>
      <c r="J32" s="62" t="s">
        <v>1124</v>
      </c>
      <c r="K32" s="66" t="s">
        <v>1062</v>
      </c>
      <c r="L32" s="62" t="s">
        <v>1125</v>
      </c>
      <c r="M32" s="66" t="s">
        <v>1062</v>
      </c>
      <c r="N32" s="62" t="s">
        <v>1126</v>
      </c>
    </row>
    <row r="33" spans="2:16" ht="30.45" customHeight="1" x14ac:dyDescent="0.3">
      <c r="B33" s="67" t="s">
        <v>1127</v>
      </c>
      <c r="D33" s="67" t="s">
        <v>203</v>
      </c>
      <c r="F33" s="67" t="s">
        <v>1128</v>
      </c>
      <c r="H33" s="67" t="s">
        <v>203</v>
      </c>
      <c r="J33" s="67" t="s">
        <v>1071</v>
      </c>
      <c r="L33" s="67" t="s">
        <v>203</v>
      </c>
      <c r="N33" s="67" t="s">
        <v>1129</v>
      </c>
    </row>
    <row r="35" spans="2:16" ht="16.95" customHeight="1" x14ac:dyDescent="0.3">
      <c r="B35" s="41" t="s">
        <v>1130</v>
      </c>
      <c r="C35" s="42"/>
      <c r="D35" s="42"/>
      <c r="E35" s="42"/>
      <c r="F35" s="42"/>
      <c r="G35" s="42"/>
      <c r="H35" s="42"/>
      <c r="I35" s="42"/>
      <c r="J35" s="42"/>
      <c r="K35" s="42"/>
      <c r="L35" s="42"/>
      <c r="M35" s="42"/>
      <c r="N35" s="42"/>
      <c r="O35" s="42"/>
      <c r="P35" s="42"/>
    </row>
    <row r="36" spans="2:16" ht="30.45" customHeight="1" x14ac:dyDescent="0.3">
      <c r="D36" s="65" t="s">
        <v>1131</v>
      </c>
      <c r="F36" s="65" t="s">
        <v>326</v>
      </c>
      <c r="H36" s="65" t="s">
        <v>1132</v>
      </c>
      <c r="J36" s="65" t="s">
        <v>1133</v>
      </c>
      <c r="N36" s="65" t="s">
        <v>1091</v>
      </c>
    </row>
    <row r="37" spans="2:16" ht="13.95" customHeight="1" x14ac:dyDescent="0.3">
      <c r="D37" s="66" t="s">
        <v>1060</v>
      </c>
      <c r="F37" s="66" t="s">
        <v>1060</v>
      </c>
      <c r="H37" s="66" t="s">
        <v>1060</v>
      </c>
      <c r="J37" s="66" t="s">
        <v>1060</v>
      </c>
      <c r="N37" s="66" t="s">
        <v>1060</v>
      </c>
    </row>
    <row r="38" spans="2:16" ht="46.05" customHeight="1" x14ac:dyDescent="0.3">
      <c r="B38" s="62" t="s">
        <v>1134</v>
      </c>
      <c r="C38" s="66" t="s">
        <v>1062</v>
      </c>
      <c r="D38" s="62" t="s">
        <v>1135</v>
      </c>
      <c r="E38" s="66" t="s">
        <v>1062</v>
      </c>
      <c r="F38" s="62" t="s">
        <v>1136</v>
      </c>
      <c r="G38" s="66" t="s">
        <v>1062</v>
      </c>
      <c r="H38" s="62" t="s">
        <v>1137</v>
      </c>
      <c r="I38" s="66" t="s">
        <v>1062</v>
      </c>
      <c r="J38" s="62" t="s">
        <v>1138</v>
      </c>
      <c r="K38" s="66" t="s">
        <v>1062</v>
      </c>
      <c r="L38" s="62" t="s">
        <v>1139</v>
      </c>
      <c r="M38" s="66" t="s">
        <v>1062</v>
      </c>
      <c r="N38" s="62" t="s">
        <v>1140</v>
      </c>
      <c r="O38" s="66" t="s">
        <v>1062</v>
      </c>
      <c r="P38" s="62" t="s">
        <v>1099</v>
      </c>
    </row>
    <row r="39" spans="2:16" ht="30.45" customHeight="1" x14ac:dyDescent="0.3">
      <c r="B39" s="67" t="s">
        <v>856</v>
      </c>
      <c r="D39" s="67" t="s">
        <v>1141</v>
      </c>
      <c r="F39" s="67" t="s">
        <v>203</v>
      </c>
      <c r="H39" s="67" t="s">
        <v>1142</v>
      </c>
      <c r="J39" s="67" t="s">
        <v>1143</v>
      </c>
      <c r="L39" s="67" t="s">
        <v>1144</v>
      </c>
      <c r="N39" s="67" t="s">
        <v>1071</v>
      </c>
      <c r="P39" s="67" t="s">
        <v>856</v>
      </c>
    </row>
    <row r="41" spans="2:16" ht="16.95" customHeight="1" x14ac:dyDescent="0.3">
      <c r="B41" s="41" t="s">
        <v>1145</v>
      </c>
      <c r="C41" s="42"/>
      <c r="D41" s="42"/>
      <c r="E41" s="42"/>
      <c r="F41" s="42"/>
      <c r="G41" s="42"/>
      <c r="H41" s="42"/>
      <c r="I41" s="42"/>
      <c r="J41" s="42"/>
      <c r="K41" s="42"/>
      <c r="L41" s="42"/>
      <c r="M41" s="42"/>
      <c r="N41" s="42"/>
      <c r="O41" s="42"/>
      <c r="P41" s="42"/>
    </row>
    <row r="42" spans="2:16" ht="30.45" customHeight="1" x14ac:dyDescent="0.3">
      <c r="D42" s="65" t="s">
        <v>1146</v>
      </c>
      <c r="F42" s="65" t="s">
        <v>1147</v>
      </c>
      <c r="H42" s="65" t="s">
        <v>1148</v>
      </c>
      <c r="J42" s="65" t="s">
        <v>1149</v>
      </c>
      <c r="L42" s="65" t="s">
        <v>326</v>
      </c>
    </row>
    <row r="43" spans="2:16" ht="13.95" customHeight="1" x14ac:dyDescent="0.3">
      <c r="D43" s="66" t="s">
        <v>1060</v>
      </c>
      <c r="F43" s="66" t="s">
        <v>1060</v>
      </c>
      <c r="H43" s="66" t="s">
        <v>1060</v>
      </c>
      <c r="J43" s="66" t="s">
        <v>1060</v>
      </c>
      <c r="L43" s="66" t="s">
        <v>1060</v>
      </c>
    </row>
    <row r="44" spans="2:16" ht="46.05" customHeight="1" x14ac:dyDescent="0.3">
      <c r="B44" s="62" t="s">
        <v>1150</v>
      </c>
      <c r="C44" s="66" t="s">
        <v>1062</v>
      </c>
      <c r="D44" s="62" t="s">
        <v>1151</v>
      </c>
      <c r="E44" s="66" t="s">
        <v>1062</v>
      </c>
      <c r="F44" s="62" t="s">
        <v>1152</v>
      </c>
      <c r="G44" s="66" t="s">
        <v>1062</v>
      </c>
      <c r="H44" s="62" t="s">
        <v>1153</v>
      </c>
      <c r="I44" s="66" t="s">
        <v>1062</v>
      </c>
      <c r="J44" s="62" t="s">
        <v>1154</v>
      </c>
      <c r="K44" s="66" t="s">
        <v>1062</v>
      </c>
      <c r="L44" s="62" t="s">
        <v>1155</v>
      </c>
      <c r="M44" s="66" t="s">
        <v>1062</v>
      </c>
      <c r="N44" s="62" t="s">
        <v>1156</v>
      </c>
    </row>
    <row r="45" spans="2:16" ht="30.45" customHeight="1" x14ac:dyDescent="0.3">
      <c r="B45" s="67" t="s">
        <v>1157</v>
      </c>
      <c r="D45" s="67" t="s">
        <v>1158</v>
      </c>
      <c r="F45" s="67" t="s">
        <v>1071</v>
      </c>
      <c r="H45" s="67" t="s">
        <v>1071</v>
      </c>
      <c r="J45" s="67" t="s">
        <v>1159</v>
      </c>
      <c r="L45" s="67" t="s">
        <v>203</v>
      </c>
      <c r="N45" s="67" t="s">
        <v>856</v>
      </c>
    </row>
    <row r="47" spans="2:16" ht="25.95" customHeight="1" x14ac:dyDescent="0.3">
      <c r="B47" s="91" t="s">
        <v>1160</v>
      </c>
      <c r="C47" s="92"/>
      <c r="D47" s="92"/>
      <c r="E47" s="92"/>
      <c r="F47" s="92"/>
      <c r="G47" s="92"/>
      <c r="H47" s="92"/>
      <c r="I47" s="92"/>
      <c r="J47" s="92"/>
      <c r="K47" s="92"/>
      <c r="L47" s="92"/>
      <c r="M47" s="92"/>
      <c r="N47" s="92"/>
      <c r="O47" s="92"/>
      <c r="P47" s="92"/>
    </row>
  </sheetData>
  <mergeCells count="2">
    <mergeCell ref="B2:P2"/>
    <mergeCell ref="B47:P4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78489-69B2-4522-86BA-720486B23871}">
  <dimension ref="A1:AG108"/>
  <sheetViews>
    <sheetView workbookViewId="0"/>
  </sheetViews>
  <sheetFormatPr defaultRowHeight="14.4" x14ac:dyDescent="0.3"/>
  <cols>
    <col min="1" max="1" width="2" style="70" customWidth="1"/>
    <col min="2" max="2" width="30" style="70" customWidth="1"/>
    <col min="3" max="3" width="4" style="70" customWidth="1"/>
    <col min="4" max="4" width="30" style="70" customWidth="1"/>
    <col min="5" max="5" width="4" style="70" customWidth="1"/>
    <col min="6" max="6" width="30" style="70" customWidth="1"/>
    <col min="7" max="7" width="4" style="70" customWidth="1"/>
    <col min="8" max="8" width="30" style="70" customWidth="1"/>
    <col min="9" max="9" width="4" style="70" customWidth="1"/>
    <col min="10" max="10" width="30" style="70" customWidth="1"/>
    <col min="11" max="26" width="8.88671875" style="70"/>
    <col min="27" max="33" width="13" style="70" hidden="1" customWidth="1"/>
    <col min="34" max="16384" width="8.88671875" style="70"/>
  </cols>
  <sheetData>
    <row r="1" spans="1:33" ht="22.05" customHeight="1" x14ac:dyDescent="0.35">
      <c r="A1" s="68" t="s">
        <v>1175</v>
      </c>
      <c r="B1" s="69"/>
      <c r="C1" s="69"/>
      <c r="D1" s="69"/>
      <c r="E1" s="69"/>
      <c r="F1" s="69"/>
      <c r="G1" s="69"/>
      <c r="H1" s="69"/>
      <c r="I1" s="69"/>
      <c r="J1" s="69"/>
    </row>
    <row r="2" spans="1:33" ht="40.049999999999997" customHeight="1" x14ac:dyDescent="0.3">
      <c r="B2" s="93" t="s">
        <v>1176</v>
      </c>
      <c r="C2" s="94"/>
      <c r="D2" s="94"/>
      <c r="E2" s="94"/>
      <c r="F2" s="94"/>
      <c r="G2" s="94"/>
      <c r="H2" s="94"/>
      <c r="I2" s="94"/>
      <c r="J2" s="94"/>
    </row>
    <row r="3" spans="1:33" x14ac:dyDescent="0.3">
      <c r="AA3" s="70" t="s">
        <v>1177</v>
      </c>
    </row>
    <row r="4" spans="1:33" ht="13.05" customHeight="1" x14ac:dyDescent="0.3">
      <c r="B4" s="71" t="s">
        <v>1178</v>
      </c>
      <c r="D4" s="71" t="s">
        <v>1179</v>
      </c>
      <c r="F4" s="71" t="s">
        <v>1180</v>
      </c>
      <c r="H4" s="71" t="s">
        <v>1181</v>
      </c>
      <c r="J4" s="71" t="s">
        <v>1182</v>
      </c>
      <c r="AA4" s="70" t="s">
        <v>1183</v>
      </c>
      <c r="AB4" s="70" t="s">
        <v>198</v>
      </c>
      <c r="AC4" s="70" t="s">
        <v>203</v>
      </c>
      <c r="AD4" s="70" t="s">
        <v>204</v>
      </c>
      <c r="AE4" s="70" t="s">
        <v>201</v>
      </c>
      <c r="AF4" s="70" t="s">
        <v>202</v>
      </c>
      <c r="AG4" s="70" t="s">
        <v>205</v>
      </c>
    </row>
    <row r="5" spans="1:33" ht="42" customHeight="1" x14ac:dyDescent="0.3">
      <c r="B5" s="72" t="s">
        <v>1184</v>
      </c>
      <c r="C5" s="73" t="s">
        <v>1062</v>
      </c>
      <c r="D5" s="72" t="s">
        <v>1185</v>
      </c>
      <c r="E5" s="73" t="s">
        <v>1062</v>
      </c>
      <c r="F5" s="72" t="s">
        <v>1186</v>
      </c>
      <c r="G5" s="73" t="s">
        <v>1062</v>
      </c>
      <c r="H5" s="72" t="s">
        <v>1187</v>
      </c>
      <c r="I5" s="73" t="s">
        <v>1062</v>
      </c>
      <c r="J5" s="72" t="s">
        <v>1188</v>
      </c>
      <c r="AA5" s="70" t="s">
        <v>1189</v>
      </c>
      <c r="AB5" s="70" t="s">
        <v>207</v>
      </c>
      <c r="AC5" s="70" t="s">
        <v>212</v>
      </c>
      <c r="AD5" s="70" t="s">
        <v>213</v>
      </c>
      <c r="AE5" s="70" t="s">
        <v>210</v>
      </c>
      <c r="AF5" s="70" t="s">
        <v>211</v>
      </c>
      <c r="AG5" s="70" t="s">
        <v>214</v>
      </c>
    </row>
    <row r="6" spans="1:33" ht="28.05" customHeight="1" x14ac:dyDescent="0.3">
      <c r="B6" s="74" t="str">
        <f>IF($B$5="","",IFERROR("Scope: "&amp;VLOOKUP($B$5,$AA$4:$AG$108,3,FALSE)&amp;"    |    EF: "&amp;VLOOKUP($B$5,$AA$4:$AG$108,4,FALSE),""))</f>
        <v>Scope: S2, S3    |    EF: EF-E1, EF-S1</v>
      </c>
      <c r="D6" s="74" t="str">
        <f>IF($D$5="","",IFERROR("Scope: "&amp;VLOOKUP($D$5,$AA$4:$AG$108,3,FALSE)&amp;"    |    EF: "&amp;VLOOKUP($D$5,$AA$4:$AG$108,4,FALSE),""))</f>
        <v>Scope: S1    |    EF: EF-F2, EF-F5</v>
      </c>
      <c r="F6" s="74" t="str">
        <f>IF($F$5="","",IFERROR("Scope: "&amp;VLOOKUP($F$5,$AA$4:$AG$108,3,FALSE)&amp;"    |    EF: "&amp;VLOOKUP($F$5,$AA$4:$AG$108,4,FALSE),""))</f>
        <v>Scope: S2    |    EF: EF-E1</v>
      </c>
      <c r="H6" s="74" t="str">
        <f>IF($H$5="","",IFERROR("Scope: "&amp;VLOOKUP($H$5,$AA$4:$AG$108,3,FALSE)&amp;"    |    EF: "&amp;VLOOKUP($H$5,$AA$4:$AG$108,4,FALSE),""))</f>
        <v>Scope: S2    |    EF: EF-E1</v>
      </c>
      <c r="J6" s="74" t="str">
        <f>IF($J$5="","",IFERROR("Scope: "&amp;VLOOKUP($J$5,$AA$4:$AG$108,3,FALSE)&amp;"    |    EF: "&amp;VLOOKUP($J$5,$AA$4:$AG$108,4,FALSE),""))</f>
        <v>Scope: S1, S2    |    EF: EF-F5, EF-F4, EF-F2, EF-E1</v>
      </c>
      <c r="AA6" s="70" t="s">
        <v>1190</v>
      </c>
      <c r="AB6" s="70" t="s">
        <v>216</v>
      </c>
      <c r="AC6" s="70" t="s">
        <v>221</v>
      </c>
      <c r="AD6" s="70" t="s">
        <v>222</v>
      </c>
      <c r="AE6" s="70" t="s">
        <v>219</v>
      </c>
      <c r="AF6" s="70" t="s">
        <v>220</v>
      </c>
      <c r="AG6" s="70" t="s">
        <v>223</v>
      </c>
    </row>
    <row r="7" spans="1:33" ht="40.049999999999997" customHeight="1" x14ac:dyDescent="0.3">
      <c r="B7" s="75" t="str">
        <f>IF($B$5="","",IFERROR("Inputs: "&amp;VLOOKUP($B$5,$AA$4:$AG$108,5,FALSE),""))</f>
        <v>Inputs: Electricity; steel bar stock</v>
      </c>
      <c r="D7" s="75" t="str">
        <f>IF($D$5="","",IFERROR("Inputs: "&amp;VLOOKUP($D$5,$AA$4:$AG$108,5,FALSE),""))</f>
        <v>Inputs: Furnace oil / natural gas (30–60 litres FO per tonne typical)</v>
      </c>
      <c r="F7" s="75" t="str">
        <f>IF($F$5="","",IFERROR("Inputs: "&amp;VLOOKUP($F$5,$AA$4:$AG$108,5,FALSE),""))</f>
        <v>Inputs: Electricity (press drives, compressors); die lube, graphite</v>
      </c>
      <c r="H7" s="75" t="str">
        <f>IF($H$5="","",IFERROR("Inputs: "&amp;VLOOKUP($H$5,$AA$4:$AG$108,5,FALSE),""))</f>
        <v>Inputs: Electricity</v>
      </c>
      <c r="J7" s="75" t="str">
        <f>IF($J$5="","",IFERROR("Inputs: "&amp;VLOOKUP($J$5,$AA$4:$AG$108,5,FALSE),""))</f>
        <v>Inputs: NG/LPG/FO or electricity; quench oil</v>
      </c>
      <c r="AA7" s="70" t="s">
        <v>1191</v>
      </c>
      <c r="AB7" s="70" t="s">
        <v>225</v>
      </c>
      <c r="AC7" s="70" t="s">
        <v>221</v>
      </c>
      <c r="AD7" s="70" t="s">
        <v>230</v>
      </c>
      <c r="AE7" s="70" t="s">
        <v>228</v>
      </c>
      <c r="AF7" s="70" t="s">
        <v>229</v>
      </c>
      <c r="AG7" s="70" t="s">
        <v>231</v>
      </c>
    </row>
    <row r="8" spans="1:33" ht="40.049999999999997" customHeight="1" x14ac:dyDescent="0.3">
      <c r="B8" s="75" t="str">
        <f>IF($B$5="","",IFERROR("Emissions: "&amp;VLOOKUP($B$5,$AA$4:$AG$108,6,FALSE),""))</f>
        <v>Emissions: Purchased electricity; upstream steel (S3)</v>
      </c>
      <c r="D8" s="75" t="str">
        <f>IF($D$5="","",IFERROR("Emissions: "&amp;VLOOKUP($D$5,$AA$4:$AG$108,6,FALSE),""))</f>
        <v>Emissions: On-site fuel combustion — LARGEST S1 source in forge shops</v>
      </c>
      <c r="F8" s="75" t="str">
        <f>IF($F$5="","",IFERROR("Emissions: "&amp;VLOOKUP($F$5,$AA$4:$AG$108,6,FALSE),""))</f>
        <v>Emissions: Purchased electricity</v>
      </c>
      <c r="H8" s="75" t="str">
        <f>IF($H$5="","",IFERROR("Emissions: "&amp;VLOOKUP($H$5,$AA$4:$AG$108,6,FALSE),""))</f>
        <v>Emissions: Purchased electricity</v>
      </c>
      <c r="J8" s="75" t="str">
        <f>IF($J$5="","",IFERROR("Emissions: "&amp;VLOOKUP($J$5,$AA$4:$AG$108,6,FALSE),""))</f>
        <v>Emissions: Fuel (S1) / electricity (S2); quench-oil top-up (S3)</v>
      </c>
      <c r="AA8" s="70" t="s">
        <v>1192</v>
      </c>
      <c r="AB8" s="70" t="s">
        <v>233</v>
      </c>
      <c r="AC8" s="70" t="s">
        <v>221</v>
      </c>
      <c r="AD8" s="70" t="s">
        <v>238</v>
      </c>
      <c r="AE8" s="70" t="s">
        <v>236</v>
      </c>
      <c r="AF8" s="70" t="s">
        <v>237</v>
      </c>
      <c r="AG8" s="70" t="s">
        <v>239</v>
      </c>
    </row>
    <row r="9" spans="1:33" ht="40.049999999999997" customHeight="1" x14ac:dyDescent="0.3">
      <c r="B9" s="76" t="str">
        <f>IF($B$5="","",IFERROR("Levers: "&amp;VLOOKUP($B$5,$AA$4:$AG$108,7,FALSE),""))</f>
        <v>Levers: Yield optimisation, scrap segregation for recycling</v>
      </c>
      <c r="D9" s="76" t="str">
        <f>IF($D$5="","",IFERROR("Levers: "&amp;VLOOKUP($D$5,$AA$4:$AG$108,7,FALSE),""))</f>
        <v>Levers: Recuperative burners, NG conversion, furnace pressure control, hot charging</v>
      </c>
      <c r="F9" s="76" t="str">
        <f>IF($F$5="","",IFERROR("Levers: "&amp;VLOOKUP($F$5,$AA$4:$AG$108,7,FALSE),""))</f>
        <v>Levers: Servo presses, flash reduction (near-net forging), die-life management</v>
      </c>
      <c r="H9" s="76" t="str">
        <f>IF($H$5="","",IFERROR("Levers: "&amp;VLOOKUP($H$5,$AA$4:$AG$108,7,FALSE),""))</f>
        <v>Levers: Flashless/precision forging to eliminate step</v>
      </c>
      <c r="J9" s="76" t="str">
        <f>IF($J$5="","",IFERROR("Levers: "&amp;VLOOKUP($J$5,$AA$4:$AG$108,7,FALSE),""))</f>
        <v>Levers: Continuous furnace loading optimisation, electric conversion, quench-oil life extension</v>
      </c>
      <c r="AA9" s="70" t="s">
        <v>1193</v>
      </c>
      <c r="AB9" s="70" t="s">
        <v>241</v>
      </c>
      <c r="AC9" s="70" t="s">
        <v>203</v>
      </c>
      <c r="AD9" s="70" t="s">
        <v>204</v>
      </c>
      <c r="AE9" s="70" t="s">
        <v>244</v>
      </c>
      <c r="AF9" s="70" t="s">
        <v>245</v>
      </c>
      <c r="AG9" s="70" t="s">
        <v>246</v>
      </c>
    </row>
    <row r="10" spans="1:33" ht="13.95" customHeight="1" x14ac:dyDescent="0.3">
      <c r="J10" s="77" t="s">
        <v>1194</v>
      </c>
      <c r="AA10" s="70" t="s">
        <v>1195</v>
      </c>
      <c r="AB10" s="70" t="s">
        <v>248</v>
      </c>
      <c r="AC10" s="70" t="s">
        <v>221</v>
      </c>
      <c r="AD10" s="70" t="s">
        <v>253</v>
      </c>
      <c r="AE10" s="70" t="s">
        <v>251</v>
      </c>
      <c r="AF10" s="70" t="s">
        <v>252</v>
      </c>
      <c r="AG10" s="70" t="s">
        <v>254</v>
      </c>
    </row>
    <row r="11" spans="1:33" ht="13.05" customHeight="1" x14ac:dyDescent="0.3">
      <c r="B11" s="71" t="s">
        <v>1196</v>
      </c>
      <c r="D11" s="71" t="s">
        <v>1197</v>
      </c>
      <c r="F11" s="71" t="s">
        <v>1198</v>
      </c>
      <c r="H11" s="71" t="s">
        <v>1199</v>
      </c>
      <c r="J11" s="71" t="s">
        <v>1200</v>
      </c>
      <c r="AA11" s="70" t="s">
        <v>1201</v>
      </c>
      <c r="AB11" s="70" t="s">
        <v>256</v>
      </c>
      <c r="AC11" s="70" t="s">
        <v>221</v>
      </c>
      <c r="AD11" s="70" t="s">
        <v>230</v>
      </c>
      <c r="AE11" s="70" t="s">
        <v>259</v>
      </c>
      <c r="AF11" s="70" t="s">
        <v>260</v>
      </c>
      <c r="AG11" s="70" t="s">
        <v>261</v>
      </c>
    </row>
    <row r="12" spans="1:33" ht="42" customHeight="1" x14ac:dyDescent="0.3">
      <c r="B12" s="72" t="s">
        <v>1202</v>
      </c>
      <c r="C12" s="73" t="s">
        <v>1062</v>
      </c>
      <c r="D12" s="72" t="s">
        <v>1203</v>
      </c>
      <c r="E12" s="73" t="s">
        <v>1062</v>
      </c>
      <c r="F12" s="72" t="s">
        <v>1204</v>
      </c>
      <c r="G12" s="73" t="s">
        <v>1062</v>
      </c>
      <c r="H12" s="72" t="s">
        <v>1205</v>
      </c>
      <c r="I12" s="73" t="s">
        <v>1062</v>
      </c>
      <c r="J12" s="72" t="s">
        <v>1206</v>
      </c>
      <c r="AA12" s="70" t="s">
        <v>1207</v>
      </c>
      <c r="AB12" s="70" t="s">
        <v>263</v>
      </c>
      <c r="AC12" s="70" t="s">
        <v>203</v>
      </c>
      <c r="AD12" s="70" t="s">
        <v>204</v>
      </c>
      <c r="AE12" s="70" t="s">
        <v>266</v>
      </c>
      <c r="AF12" s="70" t="s">
        <v>267</v>
      </c>
      <c r="AG12" s="70" t="s">
        <v>268</v>
      </c>
    </row>
    <row r="13" spans="1:33" ht="28.05" customHeight="1" x14ac:dyDescent="0.3">
      <c r="B13" s="74" t="str">
        <f>IF($B$12="","",IFERROR("Scope: "&amp;VLOOKUP($B$12,$AA$4:$AG$108,3,FALSE)&amp;"    |    EF: "&amp;VLOOKUP($B$12,$AA$4:$AG$108,4,FALSE),""))</f>
        <v>Scope: S2    |    EF: EF-E1</v>
      </c>
      <c r="D13" s="74" t="str">
        <f>IF($D$12="","",IFERROR("Scope: "&amp;VLOOKUP($D$12,$AA$4:$AG$108,3,FALSE)&amp;"    |    EF: "&amp;VLOOKUP($D$12,$AA$4:$AG$108,4,FALSE),""))</f>
        <v>Scope: S2    |    EF: EF-E1</v>
      </c>
      <c r="F13" s="74" t="str">
        <f>IF($F$12="","",IFERROR("Scope: "&amp;VLOOKUP($F$12,$AA$4:$AG$108,3,FALSE)&amp;"    |    EF: "&amp;VLOOKUP($F$12,$AA$4:$AG$108,4,FALSE),""))</f>
        <v>Scope: S2, S3    |    EF: EF-E1, EF-S6</v>
      </c>
      <c r="H13" s="74" t="str">
        <f>IF($H$12="","",IFERROR("Scope: "&amp;VLOOKUP($H$12,$AA$4:$AG$108,3,FALSE)&amp;"    |    EF: "&amp;VLOOKUP($H$12,$AA$4:$AG$108,4,FALSE),""))</f>
        <v>Scope: S2    |    EF: EF-E1</v>
      </c>
      <c r="J13" s="74" t="str">
        <f>IF($J$12="","",IFERROR("Scope: "&amp;VLOOKUP($J$12,$AA$4:$AG$108,3,FALSE)&amp;"    |    EF: "&amp;VLOOKUP($J$12,$AA$4:$AG$108,4,FALSE),""))</f>
        <v>Scope: S3    |    EF: EF-T1 to EF-T5</v>
      </c>
      <c r="AA13" s="70" t="s">
        <v>1208</v>
      </c>
      <c r="AB13" s="70" t="s">
        <v>270</v>
      </c>
      <c r="AC13" s="70" t="s">
        <v>221</v>
      </c>
      <c r="AD13" s="70" t="s">
        <v>275</v>
      </c>
      <c r="AE13" s="70" t="s">
        <v>273</v>
      </c>
      <c r="AF13" s="70" t="s">
        <v>274</v>
      </c>
      <c r="AG13" s="70" t="s">
        <v>276</v>
      </c>
    </row>
    <row r="14" spans="1:33" ht="40.049999999999997" customHeight="1" x14ac:dyDescent="0.3">
      <c r="B14" s="75" t="str">
        <f>IF($B$12="","",IFERROR("Inputs: "&amp;VLOOKUP($B$12,$AA$4:$AG$108,5,FALSE),""))</f>
        <v>Inputs: Electricity (spindles, hydraulics, coolant pumps); cutting oil/coolant</v>
      </c>
      <c r="D14" s="75" t="str">
        <f>IF($D$12="","",IFERROR("Inputs: "&amp;VLOOKUP($D$12,$AA$4:$AG$108,5,FALSE),""))</f>
        <v>Inputs: Electricity (high specific energy); grinding wheels, coolant</v>
      </c>
      <c r="F14" s="75" t="str">
        <f>IF($F$12="","",IFERROR("Inputs: "&amp;VLOOKUP($F$12,$AA$4:$AG$108,5,FALSE),""))</f>
        <v>Inputs: Electricity (rectifiers, bath heating); anodes &amp; chemistry; water</v>
      </c>
      <c r="H14" s="75" t="str">
        <f>IF($H$12="","",IFERROR("Inputs: "&amp;VLOOKUP($H$12,$AA$4:$AG$108,5,FALSE),""))</f>
        <v>Inputs: Electricity (incl. lab HVAC)</v>
      </c>
      <c r="J14" s="75" t="str">
        <f>IF($J$12="","",IFERROR("Inputs: "&amp;VLOOKUP($J$12,$AA$4:$AG$108,5,FALSE),""))</f>
        <v>Inputs: Transport fuels (third-party)</v>
      </c>
      <c r="AA14" s="70" t="s">
        <v>1184</v>
      </c>
      <c r="AB14" s="70" t="s">
        <v>280</v>
      </c>
      <c r="AC14" s="70" t="s">
        <v>285</v>
      </c>
      <c r="AD14" s="70" t="s">
        <v>286</v>
      </c>
      <c r="AE14" s="70" t="s">
        <v>283</v>
      </c>
      <c r="AF14" s="70" t="s">
        <v>284</v>
      </c>
      <c r="AG14" s="70" t="s">
        <v>287</v>
      </c>
    </row>
    <row r="15" spans="1:33" ht="40.049999999999997" customHeight="1" x14ac:dyDescent="0.3">
      <c r="B15" s="75" t="str">
        <f>IF($B$12="","",IFERROR("Emissions: "&amp;VLOOKUP($B$12,$AA$4:$AG$108,6,FALSE),""))</f>
        <v>Emissions: Purchased electricity</v>
      </c>
      <c r="D15" s="75" t="str">
        <f>IF($D$12="","",IFERROR("Emissions: "&amp;VLOOKUP($D$12,$AA$4:$AG$108,6,FALSE),""))</f>
        <v>Emissions: Purchased electricity</v>
      </c>
      <c r="F15" s="75" t="str">
        <f>IF($F$12="","",IFERROR("Emissions: "&amp;VLOOKUP($F$12,$AA$4:$AG$108,6,FALSE),""))</f>
        <v>Emissions: Purchased electricity — rectifiers &amp; heating; zinc/nickel anodes (S3)</v>
      </c>
      <c r="H15" s="75" t="str">
        <f>IF($H$12="","",IFERROR("Emissions: "&amp;VLOOKUP($H$12,$AA$4:$AG$108,6,FALSE),""))</f>
        <v>Emissions: Purchased electricity</v>
      </c>
      <c r="J15" s="75" t="str">
        <f>IF($J$12="","",IFERROR("Emissions: "&amp;VLOOKUP($J$12,$AA$4:$AG$108,6,FALSE),""))</f>
        <v>Emissions: Freight combustion — S3 Categories 4 &amp; 9</v>
      </c>
      <c r="AA15" s="70" t="s">
        <v>1185</v>
      </c>
      <c r="AB15" s="70" t="s">
        <v>289</v>
      </c>
      <c r="AC15" s="70" t="s">
        <v>212</v>
      </c>
      <c r="AD15" s="70" t="s">
        <v>294</v>
      </c>
      <c r="AE15" s="70" t="s">
        <v>292</v>
      </c>
      <c r="AF15" s="70" t="s">
        <v>293</v>
      </c>
      <c r="AG15" s="70" t="s">
        <v>295</v>
      </c>
    </row>
    <row r="16" spans="1:33" ht="40.049999999999997" customHeight="1" x14ac:dyDescent="0.3">
      <c r="B16" s="76" t="str">
        <f>IF($B$12="","",IFERROR("Levers: "&amp;VLOOKUP($B$12,$AA$4:$AG$108,7,FALSE),""))</f>
        <v>Levers: Idle-time shutdown, high-efficiency spindles, optimised cutting parameters, MQL</v>
      </c>
      <c r="D16" s="76" t="str">
        <f>IF($D$12="","",IFERROR("Levers: "&amp;VLOOKUP($D$12,$AA$4:$AG$108,7,FALSE),""))</f>
        <v>Levers: Dressing optimisation, superabrasive (CBN) wheels, coolant pump VFDs</v>
      </c>
      <c r="F16" s="76" t="str">
        <f>IF($F$12="","",IFERROR("Levers: "&amp;VLOOKUP($F$12,$AA$4:$AG$108,7,FALSE),""))</f>
        <v>Levers: High-efficiency rectifiers (IGBT), bath temperature control, trivalent chemistry, drag-out reduction</v>
      </c>
      <c r="H16" s="76" t="str">
        <f>IF($H$12="","",IFERROR("Levers: "&amp;VLOOKUP($H$12,$AA$4:$AG$108,7,FALSE),""))</f>
        <v>Levers: Lab HVAC scheduling</v>
      </c>
      <c r="J16" s="76" t="str">
        <f>IF($J$12="","",IFERROR("Levers: "&amp;VLOOKUP($J$12,$AA$4:$AG$108,7,FALSE),""))</f>
        <v>Levers: Rail/coastal modal shift, load-factor optimisation, consolidated milk runs, CNG/LNG/EV fleets</v>
      </c>
      <c r="AA16" s="70" t="s">
        <v>1209</v>
      </c>
      <c r="AB16" s="70" t="s">
        <v>297</v>
      </c>
      <c r="AC16" s="70" t="s">
        <v>203</v>
      </c>
      <c r="AD16" s="70" t="s">
        <v>204</v>
      </c>
      <c r="AE16" s="70" t="s">
        <v>300</v>
      </c>
      <c r="AF16" s="70" t="s">
        <v>267</v>
      </c>
      <c r="AG16" s="70" t="s">
        <v>301</v>
      </c>
    </row>
    <row r="17" spans="2:33" x14ac:dyDescent="0.3">
      <c r="AA17" s="70" t="s">
        <v>1186</v>
      </c>
      <c r="AB17" s="70" t="s">
        <v>303</v>
      </c>
      <c r="AC17" s="70" t="s">
        <v>203</v>
      </c>
      <c r="AD17" s="70" t="s">
        <v>204</v>
      </c>
      <c r="AE17" s="70" t="s">
        <v>306</v>
      </c>
      <c r="AF17" s="70" t="s">
        <v>267</v>
      </c>
      <c r="AG17" s="70" t="s">
        <v>307</v>
      </c>
    </row>
    <row r="18" spans="2:33" ht="16.95" customHeight="1" x14ac:dyDescent="0.3">
      <c r="B18" s="78" t="s">
        <v>1210</v>
      </c>
      <c r="C18" s="79"/>
      <c r="D18" s="79"/>
      <c r="E18" s="79"/>
      <c r="F18" s="79"/>
      <c r="G18" s="79"/>
      <c r="H18" s="79"/>
      <c r="I18" s="79"/>
      <c r="J18" s="79"/>
      <c r="AA18" s="70" t="s">
        <v>1211</v>
      </c>
      <c r="AB18" s="70" t="s">
        <v>309</v>
      </c>
      <c r="AC18" s="70" t="s">
        <v>203</v>
      </c>
      <c r="AD18" s="70" t="s">
        <v>204</v>
      </c>
      <c r="AE18" s="70" t="s">
        <v>312</v>
      </c>
      <c r="AF18" s="70" t="s">
        <v>313</v>
      </c>
      <c r="AG18" s="70" t="s">
        <v>314</v>
      </c>
    </row>
    <row r="19" spans="2:33" x14ac:dyDescent="0.3">
      <c r="B19" s="80" t="s">
        <v>1212</v>
      </c>
      <c r="D19"/>
      <c r="G19" s="97">
        <f>IF(B5&lt;&gt;"",1,0)+IF(D5&lt;&gt;"",1,0)+IF(F5&lt;&gt;"",1,0)+IF(H5&lt;&gt;"",1,0)+IF(J5&lt;&gt;"",1,0)+IF(B12&lt;&gt;"",1,0)+IF(D12&lt;&gt;"",1,0)+IF(F12&lt;&gt;"",1,0)+IF(H12&lt;&gt;"",1,0)+IF(J12&lt;&gt;"",1,0)</f>
        <v>10</v>
      </c>
      <c r="AA19" s="70" t="s">
        <v>1213</v>
      </c>
      <c r="AB19" s="70" t="s">
        <v>316</v>
      </c>
      <c r="AC19" s="70" t="s">
        <v>221</v>
      </c>
      <c r="AD19" s="70" t="s">
        <v>321</v>
      </c>
      <c r="AE19" s="70" t="s">
        <v>319</v>
      </c>
      <c r="AF19" s="70" t="s">
        <v>320</v>
      </c>
      <c r="AG19" s="70" t="s">
        <v>322</v>
      </c>
    </row>
    <row r="20" spans="2:33" x14ac:dyDescent="0.3">
      <c r="B20" s="80" t="s">
        <v>1214</v>
      </c>
      <c r="D20"/>
      <c r="G20" s="98">
        <f>IF(B5="",0,IF(ISNUMBER(FIND("S1",IFERROR(VLOOKUP(B5,$AA$4:$AG$108,3,FALSE),""))),1,0))+IF(D5="",0,IF(ISNUMBER(FIND("S1",IFERROR(VLOOKUP(D5,$AA$4:$AG$108,3,FALSE),""))),1,0))+IF(F5="",0,IF(ISNUMBER(FIND("S1",IFERROR(VLOOKUP(F5,$AA$4:$AG$108,3,FALSE),""))),1,0))+IF(H5="",0,IF(ISNUMBER(FIND("S1",IFERROR(VLOOKUP(H5,$AA$4:$AG$108,3,FALSE),""))),1,0))+IF(J5="",0,IF(ISNUMBER(FIND("S1",IFERROR(VLOOKUP(J5,$AA$4:$AG$108,3,FALSE),""))),1,0))+IF(B12="",0,IF(ISNUMBER(FIND("S1",IFERROR(VLOOKUP(B12,$AA$4:$AG$108,3,FALSE),""))),1,0))+IF(D12="",0,IF(ISNUMBER(FIND("S1",IFERROR(VLOOKUP(D12,$AA$4:$AG$108,3,FALSE),""))),1,0))+IF(F12="",0,IF(ISNUMBER(FIND("S1",IFERROR(VLOOKUP(F12,$AA$4:$AG$108,3,FALSE),""))),1,0))+IF(H12="",0,IF(ISNUMBER(FIND("S1",IFERROR(VLOOKUP(H12,$AA$4:$AG$108,3,FALSE),""))),1,0))+IF(J12="",0,IF(ISNUMBER(FIND("S1",IFERROR(VLOOKUP(J12,$AA$4:$AG$108,3,FALSE),""))),1,0))</f>
        <v>2</v>
      </c>
      <c r="AA20" s="70" t="s">
        <v>1187</v>
      </c>
      <c r="AB20" s="70" t="s">
        <v>323</v>
      </c>
      <c r="AC20" s="70" t="s">
        <v>203</v>
      </c>
      <c r="AD20" s="70" t="s">
        <v>204</v>
      </c>
      <c r="AE20" s="70" t="s">
        <v>326</v>
      </c>
      <c r="AF20" s="70" t="s">
        <v>267</v>
      </c>
      <c r="AG20" s="70" t="s">
        <v>327</v>
      </c>
    </row>
    <row r="21" spans="2:33" x14ac:dyDescent="0.3">
      <c r="B21" s="80" t="s">
        <v>1215</v>
      </c>
      <c r="D21"/>
      <c r="G21" s="98">
        <f>IF(B5="",0,IF(ISNUMBER(FIND("S2",IFERROR(VLOOKUP(B5,$AA$4:$AG$108,3,FALSE),""))),1,0))+IF(D5="",0,IF(ISNUMBER(FIND("S2",IFERROR(VLOOKUP(D5,$AA$4:$AG$108,3,FALSE),""))),1,0))+IF(F5="",0,IF(ISNUMBER(FIND("S2",IFERROR(VLOOKUP(F5,$AA$4:$AG$108,3,FALSE),""))),1,0))+IF(H5="",0,IF(ISNUMBER(FIND("S2",IFERROR(VLOOKUP(H5,$AA$4:$AG$108,3,FALSE),""))),1,0))+IF(J5="",0,IF(ISNUMBER(FIND("S2",IFERROR(VLOOKUP(J5,$AA$4:$AG$108,3,FALSE),""))),1,0))+IF(B12="",0,IF(ISNUMBER(FIND("S2",IFERROR(VLOOKUP(B12,$AA$4:$AG$108,3,FALSE),""))),1,0))+IF(D12="",0,IF(ISNUMBER(FIND("S2",IFERROR(VLOOKUP(D12,$AA$4:$AG$108,3,FALSE),""))),1,0))+IF(F12="",0,IF(ISNUMBER(FIND("S2",IFERROR(VLOOKUP(F12,$AA$4:$AG$108,3,FALSE),""))),1,0))+IF(H12="",0,IF(ISNUMBER(FIND("S2",IFERROR(VLOOKUP(H12,$AA$4:$AG$108,3,FALSE),""))),1,0))+IF(J12="",0,IF(ISNUMBER(FIND("S2",IFERROR(VLOOKUP(J12,$AA$4:$AG$108,3,FALSE),""))),1,0))</f>
        <v>8</v>
      </c>
      <c r="AA21" s="70" t="s">
        <v>1202</v>
      </c>
      <c r="AB21" s="70" t="s">
        <v>329</v>
      </c>
      <c r="AC21" s="70" t="s">
        <v>203</v>
      </c>
      <c r="AD21" s="70" t="s">
        <v>204</v>
      </c>
      <c r="AE21" s="70" t="s">
        <v>332</v>
      </c>
      <c r="AF21" s="70" t="s">
        <v>267</v>
      </c>
      <c r="AG21" s="70" t="s">
        <v>333</v>
      </c>
    </row>
    <row r="22" spans="2:33" x14ac:dyDescent="0.3">
      <c r="B22" s="80" t="s">
        <v>1216</v>
      </c>
      <c r="D22"/>
      <c r="G22" s="98">
        <f>IF(B5="",0,IF(ISNUMBER(FIND("S3",IFERROR(VLOOKUP(B5,$AA$4:$AG$108,3,FALSE),""))),1,0))+IF(D5="",0,IF(ISNUMBER(FIND("S3",IFERROR(VLOOKUP(D5,$AA$4:$AG$108,3,FALSE),""))),1,0))+IF(F5="",0,IF(ISNUMBER(FIND("S3",IFERROR(VLOOKUP(F5,$AA$4:$AG$108,3,FALSE),""))),1,0))+IF(H5="",0,IF(ISNUMBER(FIND("S3",IFERROR(VLOOKUP(H5,$AA$4:$AG$108,3,FALSE),""))),1,0))+IF(J5="",0,IF(ISNUMBER(FIND("S3",IFERROR(VLOOKUP(J5,$AA$4:$AG$108,3,FALSE),""))),1,0))+IF(B12="",0,IF(ISNUMBER(FIND("S3",IFERROR(VLOOKUP(B12,$AA$4:$AG$108,3,FALSE),""))),1,0))+IF(D12="",0,IF(ISNUMBER(FIND("S3",IFERROR(VLOOKUP(D12,$AA$4:$AG$108,3,FALSE),""))),1,0))+IF(F12="",0,IF(ISNUMBER(FIND("S3",IFERROR(VLOOKUP(F12,$AA$4:$AG$108,3,FALSE),""))),1,0))+IF(H12="",0,IF(ISNUMBER(FIND("S3",IFERROR(VLOOKUP(H12,$AA$4:$AG$108,3,FALSE),""))),1,0))+IF(J12="",0,IF(ISNUMBER(FIND("S3",IFERROR(VLOOKUP(J12,$AA$4:$AG$108,3,FALSE),""))),1,0))</f>
        <v>3</v>
      </c>
      <c r="AA22" s="70" t="s">
        <v>1217</v>
      </c>
      <c r="AB22" s="70" t="s">
        <v>334</v>
      </c>
      <c r="AC22" s="70" t="s">
        <v>203</v>
      </c>
      <c r="AD22" s="70" t="s">
        <v>204</v>
      </c>
      <c r="AE22" s="70" t="s">
        <v>337</v>
      </c>
      <c r="AF22" s="70" t="s">
        <v>267</v>
      </c>
      <c r="AG22" s="70" t="s">
        <v>338</v>
      </c>
    </row>
    <row r="23" spans="2:33" x14ac:dyDescent="0.3">
      <c r="AA23" s="70" t="s">
        <v>1218</v>
      </c>
      <c r="AB23" s="70" t="s">
        <v>339</v>
      </c>
      <c r="AC23" s="70" t="s">
        <v>203</v>
      </c>
      <c r="AD23" s="70" t="s">
        <v>204</v>
      </c>
      <c r="AE23" s="70" t="s">
        <v>326</v>
      </c>
      <c r="AF23" s="70" t="s">
        <v>267</v>
      </c>
      <c r="AG23" s="70" t="s">
        <v>342</v>
      </c>
    </row>
    <row r="24" spans="2:33" ht="40.049999999999997" customHeight="1" x14ac:dyDescent="0.3">
      <c r="B24" s="93" t="s">
        <v>1219</v>
      </c>
      <c r="C24" s="94"/>
      <c r="D24" s="94"/>
      <c r="E24" s="94"/>
      <c r="F24" s="94"/>
      <c r="G24" s="94"/>
      <c r="H24" s="94"/>
      <c r="I24" s="94"/>
      <c r="J24" s="94"/>
      <c r="AA24" s="70" t="s">
        <v>1203</v>
      </c>
      <c r="AB24" s="70" t="s">
        <v>343</v>
      </c>
      <c r="AC24" s="70" t="s">
        <v>203</v>
      </c>
      <c r="AD24" s="70" t="s">
        <v>204</v>
      </c>
      <c r="AE24" s="70" t="s">
        <v>346</v>
      </c>
      <c r="AF24" s="70" t="s">
        <v>267</v>
      </c>
      <c r="AG24" s="70" t="s">
        <v>347</v>
      </c>
    </row>
    <row r="25" spans="2:33" x14ac:dyDescent="0.3">
      <c r="AA25" s="70" t="s">
        <v>1220</v>
      </c>
      <c r="AB25" s="70" t="s">
        <v>348</v>
      </c>
      <c r="AC25" s="70" t="s">
        <v>203</v>
      </c>
      <c r="AD25" s="70" t="s">
        <v>204</v>
      </c>
      <c r="AE25" s="70" t="s">
        <v>351</v>
      </c>
      <c r="AF25" s="70" t="s">
        <v>267</v>
      </c>
      <c r="AG25" s="70" t="s">
        <v>352</v>
      </c>
    </row>
    <row r="26" spans="2:33" x14ac:dyDescent="0.3">
      <c r="AA26" s="70" t="s">
        <v>1221</v>
      </c>
      <c r="AB26" s="70" t="s">
        <v>353</v>
      </c>
      <c r="AC26" s="70" t="s">
        <v>203</v>
      </c>
      <c r="AD26" s="70" t="s">
        <v>204</v>
      </c>
      <c r="AE26" s="70" t="s">
        <v>356</v>
      </c>
      <c r="AF26" s="70" t="s">
        <v>267</v>
      </c>
      <c r="AG26" s="70" t="s">
        <v>357</v>
      </c>
    </row>
    <row r="27" spans="2:33" x14ac:dyDescent="0.3">
      <c r="AA27" s="70" t="s">
        <v>1222</v>
      </c>
      <c r="AB27" s="70" t="s">
        <v>358</v>
      </c>
      <c r="AC27" s="70" t="s">
        <v>203</v>
      </c>
      <c r="AD27" s="70" t="s">
        <v>204</v>
      </c>
      <c r="AE27" s="70" t="s">
        <v>326</v>
      </c>
      <c r="AF27" s="70" t="s">
        <v>267</v>
      </c>
      <c r="AG27" s="70" t="s">
        <v>361</v>
      </c>
    </row>
    <row r="28" spans="2:33" x14ac:dyDescent="0.3">
      <c r="AA28" s="70" t="s">
        <v>1223</v>
      </c>
      <c r="AB28" s="70" t="s">
        <v>362</v>
      </c>
      <c r="AC28" s="70" t="s">
        <v>203</v>
      </c>
      <c r="AD28" s="70" t="s">
        <v>204</v>
      </c>
      <c r="AE28" s="70" t="s">
        <v>365</v>
      </c>
      <c r="AF28" s="70" t="s">
        <v>267</v>
      </c>
      <c r="AG28" s="70" t="s">
        <v>366</v>
      </c>
    </row>
    <row r="29" spans="2:33" x14ac:dyDescent="0.3">
      <c r="AA29" s="70" t="s">
        <v>1224</v>
      </c>
      <c r="AB29" s="70" t="s">
        <v>367</v>
      </c>
      <c r="AC29" s="70" t="s">
        <v>285</v>
      </c>
      <c r="AD29" s="70" t="s">
        <v>204</v>
      </c>
      <c r="AE29" s="70" t="s">
        <v>370</v>
      </c>
      <c r="AF29" s="70" t="s">
        <v>371</v>
      </c>
      <c r="AG29" s="70" t="s">
        <v>372</v>
      </c>
    </row>
    <row r="30" spans="2:33" x14ac:dyDescent="0.3">
      <c r="AA30" s="70" t="s">
        <v>1225</v>
      </c>
      <c r="AB30" s="70" t="s">
        <v>374</v>
      </c>
      <c r="AC30" s="70" t="s">
        <v>285</v>
      </c>
      <c r="AD30" s="70" t="s">
        <v>379</v>
      </c>
      <c r="AE30" s="70" t="s">
        <v>377</v>
      </c>
      <c r="AF30" s="70" t="s">
        <v>378</v>
      </c>
      <c r="AG30" s="70" t="s">
        <v>380</v>
      </c>
    </row>
    <row r="31" spans="2:33" x14ac:dyDescent="0.3">
      <c r="AA31" s="70" t="s">
        <v>1226</v>
      </c>
      <c r="AB31" s="70" t="s">
        <v>381</v>
      </c>
      <c r="AC31" s="70" t="s">
        <v>203</v>
      </c>
      <c r="AD31" s="70" t="s">
        <v>204</v>
      </c>
      <c r="AE31" s="70" t="s">
        <v>384</v>
      </c>
      <c r="AF31" s="70" t="s">
        <v>267</v>
      </c>
      <c r="AG31" s="70" t="s">
        <v>385</v>
      </c>
    </row>
    <row r="32" spans="2:33" x14ac:dyDescent="0.3">
      <c r="AA32" s="70" t="s">
        <v>1227</v>
      </c>
      <c r="AB32" s="70" t="s">
        <v>386</v>
      </c>
      <c r="AC32" s="70" t="s">
        <v>203</v>
      </c>
      <c r="AD32" s="70" t="s">
        <v>204</v>
      </c>
      <c r="AE32" s="70" t="s">
        <v>326</v>
      </c>
      <c r="AF32" s="70" t="s">
        <v>267</v>
      </c>
      <c r="AG32" s="70" t="s">
        <v>389</v>
      </c>
    </row>
    <row r="33" spans="27:33" x14ac:dyDescent="0.3">
      <c r="AA33" s="70" t="s">
        <v>1228</v>
      </c>
      <c r="AB33" s="70" t="s">
        <v>390</v>
      </c>
      <c r="AC33" s="70" t="s">
        <v>203</v>
      </c>
      <c r="AD33" s="70" t="s">
        <v>204</v>
      </c>
      <c r="AE33" s="70" t="s">
        <v>393</v>
      </c>
      <c r="AF33" s="70" t="s">
        <v>267</v>
      </c>
      <c r="AG33" s="70" t="s">
        <v>394</v>
      </c>
    </row>
    <row r="34" spans="27:33" x14ac:dyDescent="0.3">
      <c r="AA34" s="70" t="s">
        <v>1229</v>
      </c>
      <c r="AB34" s="70" t="s">
        <v>395</v>
      </c>
      <c r="AC34" s="70" t="s">
        <v>203</v>
      </c>
      <c r="AD34" s="70" t="s">
        <v>204</v>
      </c>
      <c r="AE34" s="70" t="s">
        <v>398</v>
      </c>
      <c r="AF34" s="70" t="s">
        <v>267</v>
      </c>
      <c r="AG34" s="70" t="s">
        <v>399</v>
      </c>
    </row>
    <row r="35" spans="27:33" x14ac:dyDescent="0.3">
      <c r="AA35" s="70" t="s">
        <v>1230</v>
      </c>
      <c r="AB35" s="70" t="s">
        <v>400</v>
      </c>
      <c r="AC35" s="70" t="s">
        <v>203</v>
      </c>
      <c r="AD35" s="70" t="s">
        <v>204</v>
      </c>
      <c r="AE35" s="70" t="s">
        <v>403</v>
      </c>
      <c r="AF35" s="70" t="s">
        <v>404</v>
      </c>
      <c r="AG35" s="70" t="s">
        <v>405</v>
      </c>
    </row>
    <row r="36" spans="27:33" x14ac:dyDescent="0.3">
      <c r="AA36" s="70" t="s">
        <v>1231</v>
      </c>
      <c r="AB36" s="70" t="s">
        <v>406</v>
      </c>
      <c r="AC36" s="70" t="s">
        <v>203</v>
      </c>
      <c r="AD36" s="70" t="s">
        <v>204</v>
      </c>
      <c r="AE36" s="70" t="s">
        <v>326</v>
      </c>
      <c r="AF36" s="70" t="s">
        <v>267</v>
      </c>
      <c r="AG36" s="70" t="s">
        <v>409</v>
      </c>
    </row>
    <row r="37" spans="27:33" x14ac:dyDescent="0.3">
      <c r="AA37" s="70" t="s">
        <v>1232</v>
      </c>
      <c r="AB37" s="70" t="s">
        <v>411</v>
      </c>
      <c r="AC37" s="70" t="s">
        <v>221</v>
      </c>
      <c r="AD37" s="70" t="s">
        <v>416</v>
      </c>
      <c r="AE37" s="70" t="s">
        <v>414</v>
      </c>
      <c r="AF37" s="70" t="s">
        <v>415</v>
      </c>
      <c r="AG37" s="70" t="s">
        <v>417</v>
      </c>
    </row>
    <row r="38" spans="27:33" x14ac:dyDescent="0.3">
      <c r="AA38" s="70" t="s">
        <v>1233</v>
      </c>
      <c r="AB38" s="70" t="s">
        <v>418</v>
      </c>
      <c r="AC38" s="70" t="s">
        <v>203</v>
      </c>
      <c r="AD38" s="70" t="s">
        <v>204</v>
      </c>
      <c r="AE38" s="70" t="s">
        <v>421</v>
      </c>
      <c r="AF38" s="70" t="s">
        <v>267</v>
      </c>
      <c r="AG38" s="70" t="s">
        <v>422</v>
      </c>
    </row>
    <row r="39" spans="27:33" x14ac:dyDescent="0.3">
      <c r="AA39" s="70" t="s">
        <v>1234</v>
      </c>
      <c r="AB39" s="70" t="s">
        <v>423</v>
      </c>
      <c r="AC39" s="70" t="s">
        <v>203</v>
      </c>
      <c r="AD39" s="70" t="s">
        <v>204</v>
      </c>
      <c r="AE39" s="70" t="s">
        <v>426</v>
      </c>
      <c r="AF39" s="70" t="s">
        <v>267</v>
      </c>
      <c r="AG39" s="70" t="s">
        <v>427</v>
      </c>
    </row>
    <row r="40" spans="27:33" x14ac:dyDescent="0.3">
      <c r="AA40" s="70" t="s">
        <v>1235</v>
      </c>
      <c r="AB40" s="70" t="s">
        <v>428</v>
      </c>
      <c r="AC40" s="70" t="s">
        <v>221</v>
      </c>
      <c r="AD40" s="70" t="s">
        <v>275</v>
      </c>
      <c r="AE40" s="70" t="s">
        <v>431</v>
      </c>
      <c r="AF40" s="70" t="s">
        <v>432</v>
      </c>
      <c r="AG40" s="70" t="s">
        <v>433</v>
      </c>
    </row>
    <row r="41" spans="27:33" x14ac:dyDescent="0.3">
      <c r="AA41" s="70" t="s">
        <v>1236</v>
      </c>
      <c r="AB41" s="70" t="s">
        <v>434</v>
      </c>
      <c r="AC41" s="70" t="s">
        <v>203</v>
      </c>
      <c r="AD41" s="70" t="s">
        <v>204</v>
      </c>
      <c r="AE41" s="70" t="s">
        <v>437</v>
      </c>
      <c r="AF41" s="70" t="s">
        <v>267</v>
      </c>
      <c r="AG41" s="70" t="s">
        <v>438</v>
      </c>
    </row>
    <row r="42" spans="27:33" x14ac:dyDescent="0.3">
      <c r="AA42" s="70" t="s">
        <v>1237</v>
      </c>
      <c r="AB42" s="70" t="s">
        <v>439</v>
      </c>
      <c r="AC42" s="70" t="s">
        <v>203</v>
      </c>
      <c r="AD42" s="70" t="s">
        <v>204</v>
      </c>
      <c r="AE42" s="70" t="s">
        <v>326</v>
      </c>
      <c r="AF42" s="70" t="s">
        <v>267</v>
      </c>
      <c r="AG42" s="70" t="s">
        <v>442</v>
      </c>
    </row>
    <row r="43" spans="27:33" x14ac:dyDescent="0.3">
      <c r="AA43" s="70" t="s">
        <v>1238</v>
      </c>
      <c r="AB43" s="70" t="s">
        <v>443</v>
      </c>
      <c r="AC43" s="70" t="s">
        <v>285</v>
      </c>
      <c r="AD43" s="70" t="s">
        <v>204</v>
      </c>
      <c r="AE43" s="70" t="s">
        <v>446</v>
      </c>
      <c r="AF43" s="70" t="s">
        <v>447</v>
      </c>
      <c r="AG43" s="70" t="s">
        <v>448</v>
      </c>
    </row>
    <row r="44" spans="27:33" x14ac:dyDescent="0.3">
      <c r="AA44" s="70" t="s">
        <v>1239</v>
      </c>
      <c r="AB44" s="70" t="s">
        <v>450</v>
      </c>
      <c r="AC44" s="70" t="s">
        <v>221</v>
      </c>
      <c r="AD44" s="70" t="s">
        <v>275</v>
      </c>
      <c r="AE44" s="70" t="s">
        <v>453</v>
      </c>
      <c r="AF44" s="70" t="s">
        <v>454</v>
      </c>
      <c r="AG44" s="70" t="s">
        <v>455</v>
      </c>
    </row>
    <row r="45" spans="27:33" x14ac:dyDescent="0.3">
      <c r="AA45" s="70" t="s">
        <v>1188</v>
      </c>
      <c r="AB45" s="70" t="s">
        <v>456</v>
      </c>
      <c r="AC45" s="70" t="s">
        <v>221</v>
      </c>
      <c r="AD45" s="70" t="s">
        <v>461</v>
      </c>
      <c r="AE45" s="70" t="s">
        <v>459</v>
      </c>
      <c r="AF45" s="70" t="s">
        <v>460</v>
      </c>
      <c r="AG45" s="70" t="s">
        <v>462</v>
      </c>
    </row>
    <row r="46" spans="27:33" x14ac:dyDescent="0.3">
      <c r="AA46" s="70" t="s">
        <v>1240</v>
      </c>
      <c r="AB46" s="70" t="s">
        <v>463</v>
      </c>
      <c r="AC46" s="70" t="s">
        <v>221</v>
      </c>
      <c r="AD46" s="70" t="s">
        <v>461</v>
      </c>
      <c r="AE46" s="70" t="s">
        <v>466</v>
      </c>
      <c r="AF46" s="70" t="s">
        <v>467</v>
      </c>
      <c r="AG46" s="70" t="s">
        <v>468</v>
      </c>
    </row>
    <row r="47" spans="27:33" x14ac:dyDescent="0.3">
      <c r="AA47" s="70" t="s">
        <v>1241</v>
      </c>
      <c r="AB47" s="70" t="s">
        <v>469</v>
      </c>
      <c r="AC47" s="70" t="s">
        <v>203</v>
      </c>
      <c r="AD47" s="70" t="s">
        <v>204</v>
      </c>
      <c r="AE47" s="70" t="s">
        <v>472</v>
      </c>
      <c r="AF47" s="70" t="s">
        <v>267</v>
      </c>
      <c r="AG47" s="70" t="s">
        <v>473</v>
      </c>
    </row>
    <row r="48" spans="27:33" x14ac:dyDescent="0.3">
      <c r="AA48" s="70" t="s">
        <v>1242</v>
      </c>
      <c r="AB48" s="70" t="s">
        <v>474</v>
      </c>
      <c r="AC48" s="70" t="s">
        <v>221</v>
      </c>
      <c r="AD48" s="70" t="s">
        <v>204</v>
      </c>
      <c r="AE48" s="70" t="s">
        <v>477</v>
      </c>
      <c r="AF48" s="70" t="s">
        <v>478</v>
      </c>
      <c r="AG48" s="70" t="s">
        <v>479</v>
      </c>
    </row>
    <row r="49" spans="27:33" x14ac:dyDescent="0.3">
      <c r="AA49" s="70" t="s">
        <v>1243</v>
      </c>
      <c r="AB49" s="70" t="s">
        <v>480</v>
      </c>
      <c r="AC49" s="70" t="s">
        <v>221</v>
      </c>
      <c r="AD49" s="70" t="s">
        <v>484</v>
      </c>
      <c r="AE49" s="70" t="s">
        <v>483</v>
      </c>
      <c r="AF49" s="70" t="s">
        <v>467</v>
      </c>
      <c r="AG49" s="70" t="s">
        <v>485</v>
      </c>
    </row>
    <row r="50" spans="27:33" x14ac:dyDescent="0.3">
      <c r="AA50" s="70" t="s">
        <v>1244</v>
      </c>
      <c r="AB50" s="70" t="s">
        <v>486</v>
      </c>
      <c r="AC50" s="70" t="s">
        <v>203</v>
      </c>
      <c r="AD50" s="70" t="s">
        <v>204</v>
      </c>
      <c r="AE50" s="70" t="s">
        <v>489</v>
      </c>
      <c r="AF50" s="70" t="s">
        <v>267</v>
      </c>
      <c r="AG50" s="70" t="s">
        <v>490</v>
      </c>
    </row>
    <row r="51" spans="27:33" x14ac:dyDescent="0.3">
      <c r="AA51" s="70" t="s">
        <v>1245</v>
      </c>
      <c r="AB51" s="70" t="s">
        <v>492</v>
      </c>
      <c r="AC51" s="70" t="s">
        <v>497</v>
      </c>
      <c r="AD51" s="70" t="s">
        <v>484</v>
      </c>
      <c r="AE51" s="70" t="s">
        <v>495</v>
      </c>
      <c r="AF51" s="70" t="s">
        <v>496</v>
      </c>
      <c r="AG51" s="70" t="s">
        <v>498</v>
      </c>
    </row>
    <row r="52" spans="27:33" x14ac:dyDescent="0.3">
      <c r="AA52" s="70" t="s">
        <v>1246</v>
      </c>
      <c r="AB52" s="70" t="s">
        <v>499</v>
      </c>
      <c r="AC52" s="70" t="s">
        <v>285</v>
      </c>
      <c r="AD52" s="70" t="s">
        <v>204</v>
      </c>
      <c r="AE52" s="70" t="s">
        <v>502</v>
      </c>
      <c r="AF52" s="70" t="s">
        <v>503</v>
      </c>
      <c r="AG52" s="70" t="s">
        <v>504</v>
      </c>
    </row>
    <row r="53" spans="27:33" x14ac:dyDescent="0.3">
      <c r="AA53" s="70" t="s">
        <v>1204</v>
      </c>
      <c r="AB53" s="70" t="s">
        <v>505</v>
      </c>
      <c r="AC53" s="70" t="s">
        <v>285</v>
      </c>
      <c r="AD53" s="70" t="s">
        <v>510</v>
      </c>
      <c r="AE53" s="70" t="s">
        <v>508</v>
      </c>
      <c r="AF53" s="70" t="s">
        <v>509</v>
      </c>
      <c r="AG53" s="70" t="s">
        <v>511</v>
      </c>
    </row>
    <row r="54" spans="27:33" x14ac:dyDescent="0.3">
      <c r="AA54" s="70" t="s">
        <v>1247</v>
      </c>
      <c r="AB54" s="70" t="s">
        <v>512</v>
      </c>
      <c r="AC54" s="70" t="s">
        <v>203</v>
      </c>
      <c r="AD54" s="70" t="s">
        <v>204</v>
      </c>
      <c r="AE54" s="70" t="s">
        <v>515</v>
      </c>
      <c r="AF54" s="70" t="s">
        <v>267</v>
      </c>
      <c r="AG54" s="70" t="s">
        <v>516</v>
      </c>
    </row>
    <row r="55" spans="27:33" x14ac:dyDescent="0.3">
      <c r="AA55" s="70" t="s">
        <v>1248</v>
      </c>
      <c r="AB55" s="70" t="s">
        <v>517</v>
      </c>
      <c r="AC55" s="70" t="s">
        <v>221</v>
      </c>
      <c r="AD55" s="70" t="s">
        <v>275</v>
      </c>
      <c r="AE55" s="70" t="s">
        <v>520</v>
      </c>
      <c r="AF55" s="70" t="s">
        <v>521</v>
      </c>
      <c r="AG55" s="70" t="s">
        <v>522</v>
      </c>
    </row>
    <row r="56" spans="27:33" x14ac:dyDescent="0.3">
      <c r="AA56" s="70" t="s">
        <v>1249</v>
      </c>
      <c r="AB56" s="70" t="s">
        <v>523</v>
      </c>
      <c r="AC56" s="70" t="s">
        <v>221</v>
      </c>
      <c r="AD56" s="70" t="s">
        <v>275</v>
      </c>
      <c r="AE56" s="70" t="s">
        <v>526</v>
      </c>
      <c r="AF56" s="70" t="s">
        <v>527</v>
      </c>
      <c r="AG56" s="70" t="s">
        <v>528</v>
      </c>
    </row>
    <row r="57" spans="27:33" x14ac:dyDescent="0.3">
      <c r="AA57" s="70" t="s">
        <v>1250</v>
      </c>
      <c r="AB57" s="70" t="s">
        <v>529</v>
      </c>
      <c r="AC57" s="70" t="s">
        <v>221</v>
      </c>
      <c r="AD57" s="70" t="s">
        <v>275</v>
      </c>
      <c r="AE57" s="70" t="s">
        <v>532</v>
      </c>
      <c r="AF57" s="70" t="s">
        <v>533</v>
      </c>
      <c r="AG57" s="70" t="s">
        <v>534</v>
      </c>
    </row>
    <row r="58" spans="27:33" x14ac:dyDescent="0.3">
      <c r="AA58" s="70" t="s">
        <v>1251</v>
      </c>
      <c r="AB58" s="70" t="s">
        <v>535</v>
      </c>
      <c r="AC58" s="70" t="s">
        <v>540</v>
      </c>
      <c r="AD58" s="70" t="s">
        <v>541</v>
      </c>
      <c r="AE58" s="70" t="s">
        <v>538</v>
      </c>
      <c r="AF58" s="70" t="s">
        <v>539</v>
      </c>
      <c r="AG58" s="70" t="s">
        <v>542</v>
      </c>
    </row>
    <row r="59" spans="27:33" x14ac:dyDescent="0.3">
      <c r="AA59" s="70" t="s">
        <v>1252</v>
      </c>
      <c r="AB59" s="70" t="s">
        <v>543</v>
      </c>
      <c r="AC59" s="70" t="s">
        <v>203</v>
      </c>
      <c r="AD59" s="70" t="s">
        <v>204</v>
      </c>
      <c r="AE59" s="70" t="s">
        <v>546</v>
      </c>
      <c r="AF59" s="70" t="s">
        <v>267</v>
      </c>
      <c r="AG59" s="70" t="s">
        <v>547</v>
      </c>
    </row>
    <row r="60" spans="27:33" x14ac:dyDescent="0.3">
      <c r="AA60" s="70" t="s">
        <v>1253</v>
      </c>
      <c r="AB60" s="70" t="s">
        <v>548</v>
      </c>
      <c r="AC60" s="70" t="s">
        <v>285</v>
      </c>
      <c r="AD60" s="70" t="s">
        <v>204</v>
      </c>
      <c r="AE60" s="70" t="s">
        <v>551</v>
      </c>
      <c r="AF60" s="70" t="s">
        <v>552</v>
      </c>
      <c r="AG60" s="70" t="s">
        <v>553</v>
      </c>
    </row>
    <row r="61" spans="27:33" x14ac:dyDescent="0.3">
      <c r="AA61" s="70" t="s">
        <v>1254</v>
      </c>
      <c r="AB61" s="70" t="s">
        <v>555</v>
      </c>
      <c r="AC61" s="70" t="s">
        <v>203</v>
      </c>
      <c r="AD61" s="70" t="s">
        <v>204</v>
      </c>
      <c r="AE61" s="70" t="s">
        <v>558</v>
      </c>
      <c r="AF61" s="70" t="s">
        <v>267</v>
      </c>
      <c r="AG61" s="70" t="s">
        <v>559</v>
      </c>
    </row>
    <row r="62" spans="27:33" x14ac:dyDescent="0.3">
      <c r="AA62" s="70" t="s">
        <v>1255</v>
      </c>
      <c r="AB62" s="70" t="s">
        <v>560</v>
      </c>
      <c r="AC62" s="70" t="s">
        <v>285</v>
      </c>
      <c r="AD62" s="70" t="s">
        <v>565</v>
      </c>
      <c r="AE62" s="70" t="s">
        <v>563</v>
      </c>
      <c r="AF62" s="70" t="s">
        <v>564</v>
      </c>
      <c r="AG62" s="70" t="s">
        <v>566</v>
      </c>
    </row>
    <row r="63" spans="27:33" x14ac:dyDescent="0.3">
      <c r="AA63" s="70" t="s">
        <v>1256</v>
      </c>
      <c r="AB63" s="70" t="s">
        <v>567</v>
      </c>
      <c r="AC63" s="70" t="s">
        <v>285</v>
      </c>
      <c r="AD63" s="70" t="s">
        <v>565</v>
      </c>
      <c r="AE63" s="70" t="s">
        <v>570</v>
      </c>
      <c r="AF63" s="70" t="s">
        <v>571</v>
      </c>
      <c r="AG63" s="70" t="s">
        <v>572</v>
      </c>
    </row>
    <row r="64" spans="27:33" x14ac:dyDescent="0.3">
      <c r="AA64" s="70" t="s">
        <v>1257</v>
      </c>
      <c r="AB64" s="70" t="s">
        <v>573</v>
      </c>
      <c r="AC64" s="70" t="s">
        <v>285</v>
      </c>
      <c r="AD64" s="70" t="s">
        <v>565</v>
      </c>
      <c r="AE64" s="70" t="s">
        <v>576</v>
      </c>
      <c r="AF64" s="70" t="s">
        <v>571</v>
      </c>
      <c r="AG64" s="70" t="s">
        <v>577</v>
      </c>
    </row>
    <row r="65" spans="27:33" x14ac:dyDescent="0.3">
      <c r="AA65" s="70" t="s">
        <v>1258</v>
      </c>
      <c r="AB65" s="70" t="s">
        <v>578</v>
      </c>
      <c r="AC65" s="70" t="s">
        <v>203</v>
      </c>
      <c r="AD65" s="70" t="s">
        <v>204</v>
      </c>
      <c r="AE65" s="70" t="s">
        <v>581</v>
      </c>
      <c r="AF65" s="70" t="s">
        <v>267</v>
      </c>
      <c r="AG65" s="70" t="s">
        <v>582</v>
      </c>
    </row>
    <row r="66" spans="27:33" x14ac:dyDescent="0.3">
      <c r="AA66" s="70" t="s">
        <v>1259</v>
      </c>
      <c r="AB66" s="70" t="s">
        <v>583</v>
      </c>
      <c r="AC66" s="70" t="s">
        <v>497</v>
      </c>
      <c r="AD66" s="70" t="s">
        <v>588</v>
      </c>
      <c r="AE66" s="70" t="s">
        <v>586</v>
      </c>
      <c r="AF66" s="70" t="s">
        <v>587</v>
      </c>
      <c r="AG66" s="70" t="s">
        <v>589</v>
      </c>
    </row>
    <row r="67" spans="27:33" x14ac:dyDescent="0.3">
      <c r="AA67" s="70" t="s">
        <v>1260</v>
      </c>
      <c r="AB67" s="70" t="s">
        <v>590</v>
      </c>
      <c r="AC67" s="70" t="s">
        <v>221</v>
      </c>
      <c r="AD67" s="70" t="s">
        <v>230</v>
      </c>
      <c r="AE67" s="70" t="s">
        <v>593</v>
      </c>
      <c r="AF67" s="70" t="s">
        <v>594</v>
      </c>
      <c r="AG67" s="70" t="s">
        <v>595</v>
      </c>
    </row>
    <row r="68" spans="27:33" x14ac:dyDescent="0.3">
      <c r="AA68" s="70" t="s">
        <v>1261</v>
      </c>
      <c r="AB68" s="70" t="s">
        <v>596</v>
      </c>
      <c r="AC68" s="70" t="s">
        <v>203</v>
      </c>
      <c r="AD68" s="70" t="s">
        <v>204</v>
      </c>
      <c r="AE68" s="70" t="s">
        <v>326</v>
      </c>
      <c r="AF68" s="70" t="s">
        <v>267</v>
      </c>
      <c r="AG68" s="70" t="s">
        <v>599</v>
      </c>
    </row>
    <row r="69" spans="27:33" x14ac:dyDescent="0.3">
      <c r="AA69" s="70" t="s">
        <v>1262</v>
      </c>
      <c r="AB69" s="70" t="s">
        <v>601</v>
      </c>
      <c r="AC69" s="70" t="s">
        <v>285</v>
      </c>
      <c r="AD69" s="70" t="s">
        <v>606</v>
      </c>
      <c r="AE69" s="70" t="s">
        <v>604</v>
      </c>
      <c r="AF69" s="70" t="s">
        <v>605</v>
      </c>
      <c r="AG69" s="70" t="s">
        <v>607</v>
      </c>
    </row>
    <row r="70" spans="27:33" x14ac:dyDescent="0.3">
      <c r="AA70" s="70" t="s">
        <v>1263</v>
      </c>
      <c r="AB70" s="70" t="s">
        <v>608</v>
      </c>
      <c r="AC70" s="70" t="s">
        <v>221</v>
      </c>
      <c r="AD70" s="70" t="s">
        <v>613</v>
      </c>
      <c r="AE70" s="70" t="s">
        <v>611</v>
      </c>
      <c r="AF70" s="70" t="s">
        <v>612</v>
      </c>
      <c r="AG70" s="70" t="s">
        <v>614</v>
      </c>
    </row>
    <row r="71" spans="27:33" x14ac:dyDescent="0.3">
      <c r="AA71" s="70" t="s">
        <v>1264</v>
      </c>
      <c r="AB71" s="70" t="s">
        <v>615</v>
      </c>
      <c r="AC71" s="70" t="s">
        <v>221</v>
      </c>
      <c r="AD71" s="70" t="s">
        <v>620</v>
      </c>
      <c r="AE71" s="70" t="s">
        <v>618</v>
      </c>
      <c r="AF71" s="70" t="s">
        <v>619</v>
      </c>
      <c r="AG71" s="70" t="s">
        <v>621</v>
      </c>
    </row>
    <row r="72" spans="27:33" x14ac:dyDescent="0.3">
      <c r="AA72" s="70" t="s">
        <v>1265</v>
      </c>
      <c r="AB72" s="70" t="s">
        <v>622</v>
      </c>
      <c r="AC72" s="70" t="s">
        <v>221</v>
      </c>
      <c r="AD72" s="70" t="s">
        <v>627</v>
      </c>
      <c r="AE72" s="70" t="s">
        <v>625</v>
      </c>
      <c r="AF72" s="70" t="s">
        <v>626</v>
      </c>
      <c r="AG72" s="70" t="s">
        <v>628</v>
      </c>
    </row>
    <row r="73" spans="27:33" x14ac:dyDescent="0.3">
      <c r="AA73" s="70" t="s">
        <v>1266</v>
      </c>
      <c r="AB73" s="70" t="s">
        <v>629</v>
      </c>
      <c r="AC73" s="70" t="s">
        <v>285</v>
      </c>
      <c r="AD73" s="70" t="s">
        <v>204</v>
      </c>
      <c r="AE73" s="70" t="s">
        <v>632</v>
      </c>
      <c r="AF73" s="70" t="s">
        <v>633</v>
      </c>
      <c r="AG73" s="70" t="s">
        <v>634</v>
      </c>
    </row>
    <row r="74" spans="27:33" x14ac:dyDescent="0.3">
      <c r="AA74" s="70" t="s">
        <v>1267</v>
      </c>
      <c r="AB74" s="70" t="s">
        <v>635</v>
      </c>
      <c r="AC74" s="70" t="s">
        <v>203</v>
      </c>
      <c r="AD74" s="70" t="s">
        <v>204</v>
      </c>
      <c r="AE74" s="70" t="s">
        <v>326</v>
      </c>
      <c r="AF74" s="70" t="s">
        <v>267</v>
      </c>
      <c r="AG74" s="70" t="s">
        <v>638</v>
      </c>
    </row>
    <row r="75" spans="27:33" x14ac:dyDescent="0.3">
      <c r="AA75" s="70" t="s">
        <v>1268</v>
      </c>
      <c r="AB75" s="70" t="s">
        <v>640</v>
      </c>
      <c r="AC75" s="70" t="s">
        <v>285</v>
      </c>
      <c r="AD75" s="70" t="s">
        <v>645</v>
      </c>
      <c r="AE75" s="70" t="s">
        <v>643</v>
      </c>
      <c r="AF75" s="70" t="s">
        <v>644</v>
      </c>
      <c r="AG75" s="70" t="s">
        <v>646</v>
      </c>
    </row>
    <row r="76" spans="27:33" x14ac:dyDescent="0.3">
      <c r="AA76" s="70" t="s">
        <v>1269</v>
      </c>
      <c r="AB76" s="70" t="s">
        <v>647</v>
      </c>
      <c r="AC76" s="70" t="s">
        <v>285</v>
      </c>
      <c r="AD76" s="70" t="s">
        <v>204</v>
      </c>
      <c r="AE76" s="70" t="s">
        <v>650</v>
      </c>
      <c r="AF76" s="70" t="s">
        <v>651</v>
      </c>
      <c r="AG76" s="70" t="s">
        <v>652</v>
      </c>
    </row>
    <row r="77" spans="27:33" x14ac:dyDescent="0.3">
      <c r="AA77" s="70" t="s">
        <v>1270</v>
      </c>
      <c r="AB77" s="70" t="s">
        <v>653</v>
      </c>
      <c r="AC77" s="70" t="s">
        <v>497</v>
      </c>
      <c r="AD77" s="70" t="s">
        <v>658</v>
      </c>
      <c r="AE77" s="70" t="s">
        <v>656</v>
      </c>
      <c r="AF77" s="70" t="s">
        <v>657</v>
      </c>
      <c r="AG77" s="70" t="s">
        <v>659</v>
      </c>
    </row>
    <row r="78" spans="27:33" x14ac:dyDescent="0.3">
      <c r="AA78" s="70" t="s">
        <v>1271</v>
      </c>
      <c r="AB78" s="70" t="s">
        <v>660</v>
      </c>
      <c r="AC78" s="70" t="s">
        <v>285</v>
      </c>
      <c r="AD78" s="70" t="s">
        <v>204</v>
      </c>
      <c r="AE78" s="70" t="s">
        <v>663</v>
      </c>
      <c r="AF78" s="70" t="s">
        <v>664</v>
      </c>
      <c r="AG78" s="70" t="s">
        <v>665</v>
      </c>
    </row>
    <row r="79" spans="27:33" x14ac:dyDescent="0.3">
      <c r="AA79" s="70" t="s">
        <v>1272</v>
      </c>
      <c r="AB79" s="70" t="s">
        <v>666</v>
      </c>
      <c r="AC79" s="70" t="s">
        <v>203</v>
      </c>
      <c r="AD79" s="70" t="s">
        <v>204</v>
      </c>
      <c r="AE79" s="70" t="s">
        <v>669</v>
      </c>
      <c r="AF79" s="70" t="s">
        <v>267</v>
      </c>
      <c r="AG79" s="70" t="s">
        <v>670</v>
      </c>
    </row>
    <row r="80" spans="27:33" x14ac:dyDescent="0.3">
      <c r="AA80" s="70" t="s">
        <v>1273</v>
      </c>
      <c r="AB80" s="70" t="s">
        <v>671</v>
      </c>
      <c r="AC80" s="70" t="s">
        <v>203</v>
      </c>
      <c r="AD80" s="70" t="s">
        <v>204</v>
      </c>
      <c r="AE80" s="70" t="s">
        <v>674</v>
      </c>
      <c r="AF80" s="70" t="s">
        <v>267</v>
      </c>
      <c r="AG80" s="70" t="s">
        <v>675</v>
      </c>
    </row>
    <row r="81" spans="27:33" x14ac:dyDescent="0.3">
      <c r="AA81" s="70" t="s">
        <v>1274</v>
      </c>
      <c r="AB81" s="70" t="s">
        <v>676</v>
      </c>
      <c r="AC81" s="70" t="s">
        <v>285</v>
      </c>
      <c r="AD81" s="70" t="s">
        <v>204</v>
      </c>
      <c r="AE81" s="70" t="s">
        <v>679</v>
      </c>
      <c r="AF81" s="70" t="s">
        <v>680</v>
      </c>
      <c r="AG81" s="70" t="s">
        <v>681</v>
      </c>
    </row>
    <row r="82" spans="27:33" x14ac:dyDescent="0.3">
      <c r="AA82" s="70" t="s">
        <v>1275</v>
      </c>
      <c r="AB82" s="70" t="s">
        <v>683</v>
      </c>
      <c r="AC82" s="70" t="s">
        <v>497</v>
      </c>
      <c r="AD82" s="70" t="s">
        <v>275</v>
      </c>
      <c r="AE82" s="70" t="s">
        <v>686</v>
      </c>
      <c r="AF82" s="70" t="s">
        <v>687</v>
      </c>
      <c r="AG82" s="70" t="s">
        <v>688</v>
      </c>
    </row>
    <row r="83" spans="27:33" x14ac:dyDescent="0.3">
      <c r="AA83" s="70" t="s">
        <v>1276</v>
      </c>
      <c r="AB83" s="70" t="s">
        <v>689</v>
      </c>
      <c r="AC83" s="70" t="s">
        <v>497</v>
      </c>
      <c r="AD83" s="70" t="s">
        <v>230</v>
      </c>
      <c r="AE83" s="70" t="s">
        <v>692</v>
      </c>
      <c r="AF83" s="70" t="s">
        <v>693</v>
      </c>
      <c r="AG83" s="70" t="s">
        <v>694</v>
      </c>
    </row>
    <row r="84" spans="27:33" x14ac:dyDescent="0.3">
      <c r="AA84" s="70" t="s">
        <v>1277</v>
      </c>
      <c r="AB84" s="70" t="s">
        <v>695</v>
      </c>
      <c r="AC84" s="70" t="s">
        <v>221</v>
      </c>
      <c r="AD84" s="70" t="s">
        <v>230</v>
      </c>
      <c r="AE84" s="70" t="s">
        <v>698</v>
      </c>
      <c r="AF84" s="70" t="s">
        <v>699</v>
      </c>
      <c r="AG84" s="70" t="s">
        <v>700</v>
      </c>
    </row>
    <row r="85" spans="27:33" x14ac:dyDescent="0.3">
      <c r="AA85" s="70" t="s">
        <v>1278</v>
      </c>
      <c r="AB85" s="70" t="s">
        <v>701</v>
      </c>
      <c r="AC85" s="70" t="s">
        <v>285</v>
      </c>
      <c r="AD85" s="70" t="s">
        <v>204</v>
      </c>
      <c r="AE85" s="70" t="s">
        <v>704</v>
      </c>
      <c r="AF85" s="70" t="s">
        <v>705</v>
      </c>
      <c r="AG85" s="70" t="s">
        <v>706</v>
      </c>
    </row>
    <row r="86" spans="27:33" x14ac:dyDescent="0.3">
      <c r="AA86" s="70" t="s">
        <v>1279</v>
      </c>
      <c r="AB86" s="70" t="s">
        <v>708</v>
      </c>
      <c r="AC86" s="70" t="s">
        <v>497</v>
      </c>
      <c r="AD86" s="70" t="s">
        <v>713</v>
      </c>
      <c r="AE86" s="70" t="s">
        <v>711</v>
      </c>
      <c r="AF86" s="70" t="s">
        <v>712</v>
      </c>
      <c r="AG86" s="70" t="s">
        <v>714</v>
      </c>
    </row>
    <row r="87" spans="27:33" x14ac:dyDescent="0.3">
      <c r="AA87" s="70" t="s">
        <v>1280</v>
      </c>
      <c r="AB87" s="70" t="s">
        <v>715</v>
      </c>
      <c r="AC87" s="70" t="s">
        <v>285</v>
      </c>
      <c r="AD87" s="70" t="s">
        <v>286</v>
      </c>
      <c r="AE87" s="70" t="s">
        <v>718</v>
      </c>
      <c r="AF87" s="70" t="s">
        <v>719</v>
      </c>
      <c r="AG87" s="70" t="s">
        <v>720</v>
      </c>
    </row>
    <row r="88" spans="27:33" x14ac:dyDescent="0.3">
      <c r="AA88" s="70" t="s">
        <v>1281</v>
      </c>
      <c r="AB88" s="70" t="s">
        <v>721</v>
      </c>
      <c r="AC88" s="70" t="s">
        <v>285</v>
      </c>
      <c r="AD88" s="70" t="s">
        <v>565</v>
      </c>
      <c r="AE88" s="70" t="s">
        <v>724</v>
      </c>
      <c r="AF88" s="70" t="s">
        <v>725</v>
      </c>
      <c r="AG88" s="70" t="s">
        <v>726</v>
      </c>
    </row>
    <row r="89" spans="27:33" x14ac:dyDescent="0.3">
      <c r="AA89" s="70" t="s">
        <v>1282</v>
      </c>
      <c r="AB89" s="70" t="s">
        <v>727</v>
      </c>
      <c r="AC89" s="70" t="s">
        <v>203</v>
      </c>
      <c r="AD89" s="70" t="s">
        <v>204</v>
      </c>
      <c r="AE89" s="70" t="s">
        <v>730</v>
      </c>
      <c r="AF89" s="70" t="s">
        <v>267</v>
      </c>
      <c r="AG89" s="70" t="s">
        <v>731</v>
      </c>
    </row>
    <row r="90" spans="27:33" x14ac:dyDescent="0.3">
      <c r="AA90" s="70" t="s">
        <v>1283</v>
      </c>
      <c r="AB90" s="70" t="s">
        <v>733</v>
      </c>
      <c r="AC90" s="70" t="s">
        <v>203</v>
      </c>
      <c r="AD90" s="70" t="s">
        <v>204</v>
      </c>
      <c r="AE90" s="70" t="s">
        <v>736</v>
      </c>
      <c r="AF90" s="70" t="s">
        <v>267</v>
      </c>
      <c r="AG90" s="70" t="s">
        <v>737</v>
      </c>
    </row>
    <row r="91" spans="27:33" x14ac:dyDescent="0.3">
      <c r="AA91" s="70" t="s">
        <v>1284</v>
      </c>
      <c r="AB91" s="70" t="s">
        <v>738</v>
      </c>
      <c r="AC91" s="70" t="s">
        <v>221</v>
      </c>
      <c r="AD91" s="70" t="s">
        <v>588</v>
      </c>
      <c r="AE91" s="70" t="s">
        <v>741</v>
      </c>
      <c r="AF91" s="70" t="s">
        <v>742</v>
      </c>
      <c r="AG91" s="70" t="s">
        <v>743</v>
      </c>
    </row>
    <row r="92" spans="27:33" x14ac:dyDescent="0.3">
      <c r="AA92" s="70" t="s">
        <v>1285</v>
      </c>
      <c r="AB92" s="70" t="s">
        <v>744</v>
      </c>
      <c r="AC92" s="70" t="s">
        <v>221</v>
      </c>
      <c r="AD92" s="70" t="s">
        <v>749</v>
      </c>
      <c r="AE92" s="70" t="s">
        <v>747</v>
      </c>
      <c r="AF92" s="70" t="s">
        <v>748</v>
      </c>
      <c r="AG92" s="70" t="s">
        <v>750</v>
      </c>
    </row>
    <row r="93" spans="27:33" x14ac:dyDescent="0.3">
      <c r="AA93" s="70" t="s">
        <v>1205</v>
      </c>
      <c r="AB93" s="70" t="s">
        <v>751</v>
      </c>
      <c r="AC93" s="70" t="s">
        <v>203</v>
      </c>
      <c r="AD93" s="70" t="s">
        <v>204</v>
      </c>
      <c r="AE93" s="70" t="s">
        <v>754</v>
      </c>
      <c r="AF93" s="70" t="s">
        <v>267</v>
      </c>
      <c r="AG93" s="70" t="s">
        <v>755</v>
      </c>
    </row>
    <row r="94" spans="27:33" x14ac:dyDescent="0.3">
      <c r="AA94" s="70" t="s">
        <v>1286</v>
      </c>
      <c r="AB94" s="70" t="s">
        <v>756</v>
      </c>
      <c r="AC94" s="70" t="s">
        <v>203</v>
      </c>
      <c r="AD94" s="70" t="s">
        <v>204</v>
      </c>
      <c r="AE94" s="70" t="s">
        <v>326</v>
      </c>
      <c r="AF94" s="70" t="s">
        <v>267</v>
      </c>
      <c r="AG94" s="70" t="s">
        <v>759</v>
      </c>
    </row>
    <row r="95" spans="27:33" x14ac:dyDescent="0.3">
      <c r="AA95" s="70" t="s">
        <v>1287</v>
      </c>
      <c r="AB95" s="70" t="s">
        <v>761</v>
      </c>
      <c r="AC95" s="70" t="s">
        <v>203</v>
      </c>
      <c r="AD95" s="70" t="s">
        <v>204</v>
      </c>
      <c r="AE95" s="70" t="s">
        <v>764</v>
      </c>
      <c r="AF95" s="70" t="s">
        <v>765</v>
      </c>
      <c r="AG95" s="70" t="s">
        <v>766</v>
      </c>
    </row>
    <row r="96" spans="27:33" x14ac:dyDescent="0.3">
      <c r="AA96" s="70" t="s">
        <v>1288</v>
      </c>
      <c r="AB96" s="70" t="s">
        <v>767</v>
      </c>
      <c r="AC96" s="70" t="s">
        <v>212</v>
      </c>
      <c r="AD96" s="70" t="s">
        <v>772</v>
      </c>
      <c r="AE96" s="70" t="s">
        <v>770</v>
      </c>
      <c r="AF96" s="70" t="s">
        <v>771</v>
      </c>
      <c r="AG96" s="70" t="s">
        <v>773</v>
      </c>
    </row>
    <row r="97" spans="27:33" x14ac:dyDescent="0.3">
      <c r="AA97" s="70" t="s">
        <v>1289</v>
      </c>
      <c r="AB97" s="70" t="s">
        <v>774</v>
      </c>
      <c r="AC97" s="70" t="s">
        <v>212</v>
      </c>
      <c r="AD97" s="70" t="s">
        <v>779</v>
      </c>
      <c r="AE97" s="70" t="s">
        <v>777</v>
      </c>
      <c r="AF97" s="70" t="s">
        <v>778</v>
      </c>
      <c r="AG97" s="70" t="s">
        <v>780</v>
      </c>
    </row>
    <row r="98" spans="27:33" x14ac:dyDescent="0.3">
      <c r="AA98" s="70" t="s">
        <v>1290</v>
      </c>
      <c r="AB98" s="70" t="s">
        <v>781</v>
      </c>
      <c r="AC98" s="70" t="s">
        <v>221</v>
      </c>
      <c r="AD98" s="70" t="s">
        <v>786</v>
      </c>
      <c r="AE98" s="70" t="s">
        <v>784</v>
      </c>
      <c r="AF98" s="70" t="s">
        <v>785</v>
      </c>
      <c r="AG98" s="70" t="s">
        <v>787</v>
      </c>
    </row>
    <row r="99" spans="27:33" x14ac:dyDescent="0.3">
      <c r="AA99" s="70" t="s">
        <v>1291</v>
      </c>
      <c r="AB99" s="70" t="s">
        <v>788</v>
      </c>
      <c r="AC99" s="70" t="s">
        <v>497</v>
      </c>
      <c r="AD99" s="70" t="s">
        <v>204</v>
      </c>
      <c r="AE99" s="70" t="s">
        <v>791</v>
      </c>
      <c r="AF99" s="70" t="s">
        <v>792</v>
      </c>
      <c r="AG99" s="70" t="s">
        <v>793</v>
      </c>
    </row>
    <row r="100" spans="27:33" x14ac:dyDescent="0.3">
      <c r="AA100" s="70" t="s">
        <v>1292</v>
      </c>
      <c r="AB100" s="70" t="s">
        <v>794</v>
      </c>
      <c r="AC100" s="70" t="s">
        <v>221</v>
      </c>
      <c r="AD100" s="70" t="s">
        <v>799</v>
      </c>
      <c r="AE100" s="70" t="s">
        <v>797</v>
      </c>
      <c r="AF100" s="70" t="s">
        <v>798</v>
      </c>
      <c r="AG100" s="70" t="s">
        <v>800</v>
      </c>
    </row>
    <row r="101" spans="27:33" x14ac:dyDescent="0.3">
      <c r="AA101" s="70" t="s">
        <v>1293</v>
      </c>
      <c r="AB101" s="70" t="s">
        <v>801</v>
      </c>
      <c r="AC101" s="70" t="s">
        <v>221</v>
      </c>
      <c r="AD101" s="70" t="s">
        <v>230</v>
      </c>
      <c r="AE101" s="70" t="s">
        <v>804</v>
      </c>
      <c r="AF101" s="70" t="s">
        <v>805</v>
      </c>
      <c r="AG101" s="70" t="s">
        <v>806</v>
      </c>
    </row>
    <row r="102" spans="27:33" x14ac:dyDescent="0.3">
      <c r="AA102" s="70" t="s">
        <v>1294</v>
      </c>
      <c r="AB102" s="70" t="s">
        <v>807</v>
      </c>
      <c r="AC102" s="70" t="s">
        <v>812</v>
      </c>
      <c r="AD102" s="70" t="s">
        <v>813</v>
      </c>
      <c r="AE102" s="70" t="s">
        <v>810</v>
      </c>
      <c r="AF102" s="70" t="s">
        <v>811</v>
      </c>
      <c r="AG102" s="70" t="s">
        <v>814</v>
      </c>
    </row>
    <row r="103" spans="27:33" x14ac:dyDescent="0.3">
      <c r="AA103" s="70" t="s">
        <v>1295</v>
      </c>
      <c r="AB103" s="70" t="s">
        <v>816</v>
      </c>
      <c r="AC103" s="70" t="s">
        <v>821</v>
      </c>
      <c r="AD103" s="70" t="s">
        <v>822</v>
      </c>
      <c r="AE103" s="70" t="s">
        <v>819</v>
      </c>
      <c r="AF103" s="70" t="s">
        <v>820</v>
      </c>
      <c r="AG103" s="70" t="s">
        <v>823</v>
      </c>
    </row>
    <row r="104" spans="27:33" x14ac:dyDescent="0.3">
      <c r="AA104" s="70" t="s">
        <v>1206</v>
      </c>
      <c r="AB104" s="70" t="s">
        <v>824</v>
      </c>
      <c r="AC104" s="70" t="s">
        <v>821</v>
      </c>
      <c r="AD104" s="70" t="s">
        <v>829</v>
      </c>
      <c r="AE104" s="70" t="s">
        <v>827</v>
      </c>
      <c r="AF104" s="70" t="s">
        <v>828</v>
      </c>
      <c r="AG104" s="70" t="s">
        <v>830</v>
      </c>
    </row>
    <row r="105" spans="27:33" x14ac:dyDescent="0.3">
      <c r="AA105" s="70" t="s">
        <v>1296</v>
      </c>
      <c r="AB105" s="70" t="s">
        <v>831</v>
      </c>
      <c r="AC105" s="70" t="s">
        <v>821</v>
      </c>
      <c r="AD105" s="70" t="s">
        <v>836</v>
      </c>
      <c r="AE105" s="70" t="s">
        <v>834</v>
      </c>
      <c r="AF105" s="70" t="s">
        <v>835</v>
      </c>
      <c r="AG105" s="70" t="s">
        <v>837</v>
      </c>
    </row>
    <row r="106" spans="27:33" x14ac:dyDescent="0.3">
      <c r="AA106" s="70" t="s">
        <v>1297</v>
      </c>
      <c r="AB106" s="70" t="s">
        <v>838</v>
      </c>
      <c r="AC106" s="70" t="s">
        <v>821</v>
      </c>
      <c r="AD106" s="70" t="s">
        <v>842</v>
      </c>
      <c r="AE106" s="70" t="s">
        <v>827</v>
      </c>
      <c r="AF106" s="70" t="s">
        <v>841</v>
      </c>
      <c r="AG106" s="70" t="s">
        <v>843</v>
      </c>
    </row>
    <row r="107" spans="27:33" x14ac:dyDescent="0.3">
      <c r="AA107" s="70" t="s">
        <v>1298</v>
      </c>
      <c r="AB107" s="70" t="s">
        <v>844</v>
      </c>
      <c r="AC107" s="70" t="s">
        <v>821</v>
      </c>
      <c r="AD107" s="70" t="s">
        <v>849</v>
      </c>
      <c r="AE107" s="70" t="s">
        <v>847</v>
      </c>
      <c r="AF107" s="70" t="s">
        <v>848</v>
      </c>
      <c r="AG107" s="70" t="s">
        <v>850</v>
      </c>
    </row>
    <row r="108" spans="27:33" x14ac:dyDescent="0.3">
      <c r="AA108" s="70" t="s">
        <v>1299</v>
      </c>
      <c r="AB108" s="70" t="s">
        <v>851</v>
      </c>
      <c r="AC108" s="70" t="s">
        <v>821</v>
      </c>
      <c r="AD108" s="70" t="s">
        <v>856</v>
      </c>
      <c r="AE108" s="70" t="s">
        <v>854</v>
      </c>
      <c r="AF108" s="70" t="s">
        <v>855</v>
      </c>
      <c r="AG108" s="70" t="s">
        <v>857</v>
      </c>
    </row>
  </sheetData>
  <mergeCells count="2">
    <mergeCell ref="B2:J2"/>
    <mergeCell ref="B24:J24"/>
  </mergeCells>
  <dataValidations count="1">
    <dataValidation type="list" errorStyle="information" allowBlank="1" showInputMessage="1" showErrorMessage="1" promptTitle="Process step" prompt="Pick an activity from the auto-ancillary catalogue (or leave blank to end the route here)." sqref="B5 J12 H12 F12 D12 B12 J5 H5 F5 D5" xr:uid="{7AF56AEE-0325-4B06-903D-CE052A620B96}">
      <formula1>$AA$4:$AA$108</formula1>
    </dataValidation>
  </dataValidation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
  <sheetViews>
    <sheetView showGridLines="0" zoomScaleNormal="100" workbookViewId="0"/>
  </sheetViews>
  <sheetFormatPr defaultColWidth="8.6640625" defaultRowHeight="14.4" x14ac:dyDescent="0.3"/>
  <cols>
    <col min="1" max="1" width="52" customWidth="1"/>
    <col min="2" max="6" width="13" customWidth="1"/>
    <col min="7" max="7" width="15" customWidth="1"/>
  </cols>
  <sheetData>
    <row r="1" spans="1:7" ht="27.75" customHeight="1" x14ac:dyDescent="0.3">
      <c r="A1" s="89" t="s">
        <v>72</v>
      </c>
      <c r="B1" s="89"/>
      <c r="C1" s="89"/>
      <c r="D1" s="89"/>
      <c r="E1" s="89"/>
      <c r="F1" s="89"/>
      <c r="G1" s="89"/>
    </row>
    <row r="3" spans="1:7" ht="30" customHeight="1" x14ac:dyDescent="0.3">
      <c r="B3" s="12" t="s">
        <v>73</v>
      </c>
      <c r="C3" s="12" t="s">
        <v>74</v>
      </c>
      <c r="D3" s="12" t="s">
        <v>75</v>
      </c>
      <c r="E3" s="12" t="s">
        <v>76</v>
      </c>
      <c r="F3" s="12" t="s">
        <v>77</v>
      </c>
      <c r="G3" s="12" t="s">
        <v>78</v>
      </c>
    </row>
    <row r="4" spans="1:7" ht="18" customHeight="1" x14ac:dyDescent="0.3">
      <c r="A4" s="86" t="s">
        <v>79</v>
      </c>
      <c r="B4" s="86"/>
      <c r="C4" s="86"/>
      <c r="D4" s="86"/>
      <c r="E4" s="86"/>
      <c r="F4" s="86"/>
      <c r="G4" s="86"/>
    </row>
    <row r="5" spans="1:7" ht="28.8" x14ac:dyDescent="0.3">
      <c r="A5" s="1" t="s">
        <v>80</v>
      </c>
      <c r="B5" s="10">
        <f>'Client Inputs'!$B$6</f>
        <v>250</v>
      </c>
      <c r="C5" s="19">
        <f>B5*(1+'Client Inputs'!$B$7)</f>
        <v>270</v>
      </c>
      <c r="D5" s="19">
        <f>C5*(1+'Client Inputs'!$B$7)</f>
        <v>291.60000000000002</v>
      </c>
      <c r="E5" s="19">
        <f>D5*(1+'Client Inputs'!$B$7)</f>
        <v>314.92800000000005</v>
      </c>
      <c r="F5" s="19">
        <f>E5*(1+'Client Inputs'!$B$7)</f>
        <v>340.12224000000009</v>
      </c>
      <c r="G5" s="20" t="s">
        <v>81</v>
      </c>
    </row>
    <row r="6" spans="1:7" ht="28.8" x14ac:dyDescent="0.3">
      <c r="A6" s="1" t="s">
        <v>82</v>
      </c>
      <c r="B6" s="19">
        <f>B5*'Client Inputs'!$B$10</f>
        <v>45</v>
      </c>
      <c r="C6" s="19">
        <f>C5*'Client Inputs'!$B$10</f>
        <v>48.6</v>
      </c>
      <c r="D6" s="19">
        <f>D5*'Client Inputs'!$B$10</f>
        <v>52.488</v>
      </c>
      <c r="E6" s="19">
        <f>E5*'Client Inputs'!$B$10</f>
        <v>56.68704000000001</v>
      </c>
      <c r="F6" s="19">
        <f>F5*'Client Inputs'!$B$10</f>
        <v>61.222003200000017</v>
      </c>
      <c r="G6" s="20" t="s">
        <v>81</v>
      </c>
    </row>
    <row r="7" spans="1:7" ht="28.8" x14ac:dyDescent="0.3">
      <c r="A7" s="1" t="s">
        <v>83</v>
      </c>
      <c r="B7" s="21">
        <f>B6*'Client Inputs'!$B$13</f>
        <v>2025</v>
      </c>
      <c r="C7" s="21">
        <f>C6*'Client Inputs'!$B$13</f>
        <v>2187</v>
      </c>
      <c r="D7" s="21">
        <f>D6*'Client Inputs'!$B$13</f>
        <v>2361.96</v>
      </c>
      <c r="E7" s="21">
        <f>E6*'Client Inputs'!$B$13</f>
        <v>2550.9168000000004</v>
      </c>
      <c r="F7" s="21">
        <f>F6*'Client Inputs'!$B$13</f>
        <v>2754.9901440000008</v>
      </c>
      <c r="G7" s="20" t="s">
        <v>81</v>
      </c>
    </row>
    <row r="9" spans="1:7" ht="18" customHeight="1" x14ac:dyDescent="0.3">
      <c r="A9" s="86" t="s">
        <v>84</v>
      </c>
      <c r="B9" s="86"/>
      <c r="C9" s="86"/>
      <c r="D9" s="86"/>
      <c r="E9" s="86"/>
      <c r="F9" s="86"/>
      <c r="G9" s="86"/>
    </row>
    <row r="10" spans="1:7" x14ac:dyDescent="0.3">
      <c r="A10" s="1" t="s">
        <v>85</v>
      </c>
      <c r="B10" s="19">
        <f>B7*'Client Inputs'!$B$28*'Client Inputs'!$B$29*(1+'Client Inputs'!$B$30)/100000</f>
        <v>212.574375</v>
      </c>
      <c r="C10" s="19">
        <f>C7*'Client Inputs'!$B$28*'Client Inputs'!$B$29*(1+'Client Inputs'!$B$30)/100000</f>
        <v>229.58032499999999</v>
      </c>
      <c r="D10" s="19">
        <f>D7*'Client Inputs'!$B$28*'Client Inputs'!$B$29*(1+'Client Inputs'!$B$30)/100000</f>
        <v>247.94675100000001</v>
      </c>
      <c r="E10" s="19">
        <f>E7*'Client Inputs'!$B$28*'Client Inputs'!$B$29*(1+'Client Inputs'!$B$30)/100000</f>
        <v>267.78249108000006</v>
      </c>
      <c r="F10" s="19">
        <f>F7*'Client Inputs'!$B$28*'Client Inputs'!$B$29*(1+'Client Inputs'!$B$30)/100000</f>
        <v>289.2050903664001</v>
      </c>
      <c r="G10" s="19">
        <f>SUM(B10:F10)</f>
        <v>1247.0890324464001</v>
      </c>
    </row>
    <row r="11" spans="1:7" x14ac:dyDescent="0.3">
      <c r="A11" s="1" t="s">
        <v>86</v>
      </c>
      <c r="B11" s="19">
        <f>'Client Inputs'!$B$34</f>
        <v>35</v>
      </c>
      <c r="C11" s="19">
        <f>'Client Inputs'!$B$34</f>
        <v>35</v>
      </c>
      <c r="D11" s="19">
        <f>'Client Inputs'!$B$34</f>
        <v>35</v>
      </c>
      <c r="E11" s="19">
        <f>'Client Inputs'!$B$34</f>
        <v>35</v>
      </c>
      <c r="F11" s="19">
        <f>'Client Inputs'!$B$34</f>
        <v>35</v>
      </c>
      <c r="G11" s="19">
        <f>SUM(B11:F11)</f>
        <v>175</v>
      </c>
    </row>
    <row r="12" spans="1:7" x14ac:dyDescent="0.3">
      <c r="A12" s="1" t="s">
        <v>87</v>
      </c>
      <c r="B12" s="19">
        <f>'Client Inputs'!$B$15*'Client Inputs'!$B$14/100000</f>
        <v>2.7</v>
      </c>
      <c r="C12" s="19">
        <f>'Client Inputs'!$B$15*'Client Inputs'!$B$14/100000</f>
        <v>2.7</v>
      </c>
      <c r="D12" s="19">
        <f>'Client Inputs'!$B$15*'Client Inputs'!$B$14/100000</f>
        <v>2.7</v>
      </c>
      <c r="E12" s="19">
        <f>'Client Inputs'!$B$15*'Client Inputs'!$B$14/100000</f>
        <v>2.7</v>
      </c>
      <c r="F12" s="19">
        <f>'Client Inputs'!$B$15*'Client Inputs'!$B$14/100000</f>
        <v>2.7</v>
      </c>
      <c r="G12" s="19">
        <f>SUM(B12:F12)</f>
        <v>13.5</v>
      </c>
    </row>
    <row r="13" spans="1:7" x14ac:dyDescent="0.3">
      <c r="A13" s="22" t="s">
        <v>88</v>
      </c>
      <c r="B13" s="23">
        <f>SUM(B10:B12)</f>
        <v>250.27437499999999</v>
      </c>
      <c r="C13" s="23">
        <f>SUM(C10:C12)</f>
        <v>267.280325</v>
      </c>
      <c r="D13" s="23">
        <f>SUM(D10:D12)</f>
        <v>285.64675099999999</v>
      </c>
      <c r="E13" s="23">
        <f>SUM(E10:E12)</f>
        <v>305.48249108000005</v>
      </c>
      <c r="F13" s="23">
        <f>SUM(F10:F12)</f>
        <v>326.90509036640009</v>
      </c>
      <c r="G13" s="23">
        <f>SUM(B13:F13)</f>
        <v>1435.5890324464003</v>
      </c>
    </row>
    <row r="15" spans="1:7" ht="18" customHeight="1" x14ac:dyDescent="0.3">
      <c r="A15" s="86" t="s">
        <v>89</v>
      </c>
      <c r="B15" s="86"/>
      <c r="C15" s="86"/>
      <c r="D15" s="86"/>
      <c r="E15" s="86"/>
      <c r="F15" s="86"/>
      <c r="G15" s="86"/>
    </row>
    <row r="16" spans="1:7" ht="28.8" x14ac:dyDescent="0.3">
      <c r="A16" s="1" t="s">
        <v>90</v>
      </c>
      <c r="B16" s="19">
        <f>B5*'Client Inputs'!$B$11</f>
        <v>100</v>
      </c>
      <c r="C16" s="19">
        <f>C5*'Client Inputs'!$B$11</f>
        <v>108</v>
      </c>
      <c r="D16" s="19">
        <f>D5*'Client Inputs'!$B$11</f>
        <v>116.64000000000001</v>
      </c>
      <c r="E16" s="19">
        <f>E5*'Client Inputs'!$B$11</f>
        <v>125.97120000000002</v>
      </c>
      <c r="F16" s="19">
        <f>F5*'Client Inputs'!$B$11</f>
        <v>136.04889600000004</v>
      </c>
      <c r="G16" s="20" t="s">
        <v>81</v>
      </c>
    </row>
    <row r="17" spans="1:7" ht="28.8" x14ac:dyDescent="0.3">
      <c r="A17" s="1" t="s">
        <v>91</v>
      </c>
      <c r="B17" s="19">
        <f>B6+B16</f>
        <v>145</v>
      </c>
      <c r="C17" s="19">
        <f>C6+C16</f>
        <v>156.6</v>
      </c>
      <c r="D17" s="19">
        <f>D6+D16</f>
        <v>169.12800000000001</v>
      </c>
      <c r="E17" s="19">
        <f>E6+E16</f>
        <v>182.65824000000003</v>
      </c>
      <c r="F17" s="19">
        <f>F6+F16</f>
        <v>197.27089920000006</v>
      </c>
      <c r="G17" s="20" t="s">
        <v>81</v>
      </c>
    </row>
    <row r="18" spans="1:7" x14ac:dyDescent="0.3">
      <c r="A18" s="1" t="s">
        <v>92</v>
      </c>
      <c r="B18" s="19">
        <f>B17*100*'Client Inputs'!$B$38*'Client Inputs'!$B$35</f>
        <v>261</v>
      </c>
      <c r="C18" s="19">
        <f>C17*100*'Client Inputs'!$B$38*'Client Inputs'!$B$35</f>
        <v>281.87999999999994</v>
      </c>
      <c r="D18" s="19">
        <f>D17*100*'Client Inputs'!$B$38*'Client Inputs'!$B$35</f>
        <v>304.43040000000002</v>
      </c>
      <c r="E18" s="19">
        <f>E17*100*'Client Inputs'!$B$38*'Client Inputs'!$B$35</f>
        <v>328.78483200000011</v>
      </c>
      <c r="F18" s="19">
        <f>F17*100*'Client Inputs'!$B$38*'Client Inputs'!$B$35</f>
        <v>355.08761856000012</v>
      </c>
      <c r="G18" s="19">
        <f>SUM(B18:F18)</f>
        <v>1531.1828505600001</v>
      </c>
    </row>
    <row r="20" spans="1:7" x14ac:dyDescent="0.3">
      <c r="A20" s="22" t="s">
        <v>93</v>
      </c>
      <c r="B20" s="24">
        <f>B13+B18</f>
        <v>511.27437499999996</v>
      </c>
      <c r="C20" s="24">
        <f>C13+C18</f>
        <v>549.16032499999994</v>
      </c>
      <c r="D20" s="24">
        <f>D13+D18</f>
        <v>590.07715099999996</v>
      </c>
      <c r="E20" s="24">
        <f>E13+E18</f>
        <v>634.2673230800001</v>
      </c>
      <c r="F20" s="24">
        <f>F13+F18</f>
        <v>681.99270892640016</v>
      </c>
      <c r="G20" s="24">
        <f>SUM(B20:F20)</f>
        <v>2966.7718830064</v>
      </c>
    </row>
  </sheetData>
  <mergeCells count="4">
    <mergeCell ref="A1:G1"/>
    <mergeCell ref="A4:G4"/>
    <mergeCell ref="A9:G9"/>
    <mergeCell ref="A15:G15"/>
  </mergeCells>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showGridLines="0" zoomScaleNormal="100" workbookViewId="0"/>
  </sheetViews>
  <sheetFormatPr defaultColWidth="8.6640625" defaultRowHeight="14.4" x14ac:dyDescent="0.3"/>
  <cols>
    <col min="1" max="1" width="46" customWidth="1"/>
    <col min="2" max="6" width="13" customWidth="1"/>
    <col min="7" max="7" width="15" customWidth="1"/>
  </cols>
  <sheetData>
    <row r="1" spans="1:7" ht="27.75" customHeight="1" x14ac:dyDescent="0.3">
      <c r="A1" s="89" t="s">
        <v>94</v>
      </c>
      <c r="B1" s="89"/>
      <c r="C1" s="89"/>
      <c r="D1" s="89"/>
      <c r="E1" s="89"/>
      <c r="F1" s="89"/>
      <c r="G1" s="89"/>
    </row>
    <row r="3" spans="1:7" ht="30" customHeight="1" x14ac:dyDescent="0.3">
      <c r="B3" s="12" t="s">
        <v>73</v>
      </c>
      <c r="C3" s="12" t="s">
        <v>74</v>
      </c>
      <c r="D3" s="12" t="s">
        <v>75</v>
      </c>
      <c r="E3" s="12" t="s">
        <v>76</v>
      </c>
      <c r="F3" s="12" t="s">
        <v>77</v>
      </c>
      <c r="G3" s="12" t="s">
        <v>78</v>
      </c>
    </row>
    <row r="4" spans="1:7" x14ac:dyDescent="0.3">
      <c r="A4" s="1" t="s">
        <v>37</v>
      </c>
      <c r="B4" s="10">
        <f>'Client Inputs'!$B$19</f>
        <v>8</v>
      </c>
      <c r="C4" s="19">
        <f>B4*(1+'Client Inputs'!$B$23)</f>
        <v>8.4</v>
      </c>
      <c r="D4" s="19">
        <f>C4*(1+'Client Inputs'!$B$23)</f>
        <v>8.82</v>
      </c>
      <c r="E4" s="19">
        <f>D4*(1+'Client Inputs'!$B$23)</f>
        <v>9.261000000000001</v>
      </c>
      <c r="F4" s="19">
        <f>E4*(1+'Client Inputs'!$B$23)</f>
        <v>9.7240500000000019</v>
      </c>
      <c r="G4" s="19">
        <f>SUM(B4:F4)</f>
        <v>44.20505</v>
      </c>
    </row>
    <row r="5" spans="1:7" x14ac:dyDescent="0.3">
      <c r="A5" s="1" t="s">
        <v>38</v>
      </c>
      <c r="B5" s="10">
        <f>'Client Inputs'!$B$20</f>
        <v>2.5</v>
      </c>
      <c r="C5" s="19">
        <v>0</v>
      </c>
      <c r="D5" s="19">
        <v>0</v>
      </c>
      <c r="E5" s="19">
        <v>0</v>
      </c>
      <c r="F5" s="19">
        <v>0</v>
      </c>
      <c r="G5" s="19">
        <f>SUM(B5:F5)</f>
        <v>2.5</v>
      </c>
    </row>
    <row r="6" spans="1:7" x14ac:dyDescent="0.3">
      <c r="A6" s="1" t="s">
        <v>95</v>
      </c>
      <c r="B6" s="10">
        <f>'Client Inputs'!$B$21</f>
        <v>3</v>
      </c>
      <c r="C6" s="19">
        <f>B6*(1+'Client Inputs'!$B$23)</f>
        <v>3.1500000000000004</v>
      </c>
      <c r="D6" s="19">
        <f>C6*(1+'Client Inputs'!$B$23)</f>
        <v>3.3075000000000006</v>
      </c>
      <c r="E6" s="19">
        <f>D6*(1+'Client Inputs'!$B$23)</f>
        <v>3.4728750000000006</v>
      </c>
      <c r="F6" s="19">
        <f>E6*(1+'Client Inputs'!$B$23)</f>
        <v>3.6465187500000007</v>
      </c>
      <c r="G6" s="19">
        <f>SUM(B6:F6)</f>
        <v>16.576893750000004</v>
      </c>
    </row>
    <row r="7" spans="1:7" x14ac:dyDescent="0.3">
      <c r="A7" s="22" t="s">
        <v>96</v>
      </c>
      <c r="B7" s="24">
        <f>SUM(B4:B6)</f>
        <v>13.5</v>
      </c>
      <c r="C7" s="24">
        <f>SUM(C4:C6)</f>
        <v>11.55</v>
      </c>
      <c r="D7" s="24">
        <f>SUM(D4:D6)</f>
        <v>12.127500000000001</v>
      </c>
      <c r="E7" s="24">
        <f>SUM(E4:E6)</f>
        <v>12.733875000000001</v>
      </c>
      <c r="F7" s="24">
        <f>SUM(F4:F6)</f>
        <v>13.370568750000002</v>
      </c>
      <c r="G7" s="24">
        <f>SUM(B7:F7)</f>
        <v>63.281943750000011</v>
      </c>
    </row>
    <row r="8" spans="1:7" x14ac:dyDescent="0.3">
      <c r="A8" s="1" t="s">
        <v>97</v>
      </c>
      <c r="B8" s="19">
        <f>B7</f>
        <v>13.5</v>
      </c>
      <c r="C8" s="19">
        <f>B8+C7</f>
        <v>25.05</v>
      </c>
      <c r="D8" s="19">
        <f>C8+D7</f>
        <v>37.177500000000002</v>
      </c>
      <c r="E8" s="19">
        <f>D8+E7</f>
        <v>49.911375000000007</v>
      </c>
      <c r="F8" s="19">
        <f>E8+F7</f>
        <v>63.281943750000011</v>
      </c>
      <c r="G8" s="19">
        <f>F8</f>
        <v>63.281943750000011</v>
      </c>
    </row>
  </sheetData>
  <mergeCells count="1">
    <mergeCell ref="A1:G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zoomScaleNormal="100" workbookViewId="0"/>
  </sheetViews>
  <sheetFormatPr defaultColWidth="8.6640625" defaultRowHeight="14.4" x14ac:dyDescent="0.3"/>
  <cols>
    <col min="1" max="1" width="52" customWidth="1"/>
    <col min="2" max="6" width="13" customWidth="1"/>
    <col min="7" max="7" width="15" customWidth="1"/>
  </cols>
  <sheetData>
    <row r="1" spans="1:7" ht="27.75" customHeight="1" x14ac:dyDescent="0.3">
      <c r="A1" s="89" t="s">
        <v>98</v>
      </c>
      <c r="B1" s="89"/>
      <c r="C1" s="89"/>
      <c r="D1" s="89"/>
      <c r="E1" s="89"/>
      <c r="F1" s="89"/>
      <c r="G1" s="89"/>
    </row>
    <row r="3" spans="1:7" ht="30" customHeight="1" x14ac:dyDescent="0.3">
      <c r="B3" s="12" t="s">
        <v>73</v>
      </c>
      <c r="C3" s="12" t="s">
        <v>74</v>
      </c>
      <c r="D3" s="12" t="s">
        <v>75</v>
      </c>
      <c r="E3" s="12" t="s">
        <v>76</v>
      </c>
      <c r="F3" s="12" t="s">
        <v>77</v>
      </c>
      <c r="G3" s="12" t="s">
        <v>78</v>
      </c>
    </row>
    <row r="4" spans="1:7" ht="18" customHeight="1" x14ac:dyDescent="0.3">
      <c r="A4" s="86" t="s">
        <v>99</v>
      </c>
      <c r="B4" s="86"/>
      <c r="C4" s="86"/>
      <c r="D4" s="86"/>
      <c r="E4" s="86"/>
      <c r="F4" s="86"/>
      <c r="G4" s="86"/>
    </row>
    <row r="5" spans="1:7" x14ac:dyDescent="0.3">
      <c r="A5" s="1" t="s">
        <v>100</v>
      </c>
      <c r="B5" s="10">
        <f>'Cost of Inaction'!B7*'Client Inputs'!$B$28*'Client Inputs'!$B$29*'Client Inputs'!$B$30/100000</f>
        <v>49.055624999999999</v>
      </c>
      <c r="C5" s="10">
        <f>'Cost of Inaction'!C7*'Client Inputs'!$B$28*'Client Inputs'!$B$29*'Client Inputs'!$B$30/100000</f>
        <v>52.980074999999999</v>
      </c>
      <c r="D5" s="10">
        <f>'Cost of Inaction'!D7*'Client Inputs'!$B$28*'Client Inputs'!$B$29*'Client Inputs'!$B$30/100000</f>
        <v>57.218480999999997</v>
      </c>
      <c r="E5" s="10">
        <f>'Cost of Inaction'!E7*'Client Inputs'!$B$28*'Client Inputs'!$B$29*'Client Inputs'!$B$30/100000</f>
        <v>61.795959480000008</v>
      </c>
      <c r="F5" s="10">
        <f>'Cost of Inaction'!F7*'Client Inputs'!$B$28*'Client Inputs'!$B$29*'Client Inputs'!$B$30/100000</f>
        <v>66.73963623840001</v>
      </c>
      <c r="G5" s="19">
        <f>SUM(B5:F5)</f>
        <v>287.78977671839999</v>
      </c>
    </row>
    <row r="6" spans="1:7" x14ac:dyDescent="0.3">
      <c r="A6" s="1" t="s">
        <v>101</v>
      </c>
      <c r="B6" s="10">
        <f>'Cost of Inaction'!B11</f>
        <v>35</v>
      </c>
      <c r="C6" s="10">
        <f>'Cost of Inaction'!C11</f>
        <v>35</v>
      </c>
      <c r="D6" s="10">
        <f>'Cost of Inaction'!D11</f>
        <v>35</v>
      </c>
      <c r="E6" s="10">
        <f>'Cost of Inaction'!E11</f>
        <v>35</v>
      </c>
      <c r="F6" s="10">
        <f>'Cost of Inaction'!F11</f>
        <v>35</v>
      </c>
      <c r="G6" s="19">
        <f>SUM(B6:F6)</f>
        <v>175</v>
      </c>
    </row>
    <row r="7" spans="1:7" x14ac:dyDescent="0.3">
      <c r="A7" s="1" t="s">
        <v>102</v>
      </c>
      <c r="B7" s="19">
        <f>'Cost of Inaction'!B12*'Client Inputs'!$B$24</f>
        <v>1.89</v>
      </c>
      <c r="C7" s="19">
        <f>'Cost of Inaction'!C12*'Client Inputs'!$B$24</f>
        <v>1.89</v>
      </c>
      <c r="D7" s="19">
        <f>'Cost of Inaction'!D12*'Client Inputs'!$B$24</f>
        <v>1.89</v>
      </c>
      <c r="E7" s="19">
        <f>'Cost of Inaction'!E12*'Client Inputs'!$B$24</f>
        <v>1.89</v>
      </c>
      <c r="F7" s="19">
        <f>'Cost of Inaction'!F12*'Client Inputs'!$B$24</f>
        <v>1.89</v>
      </c>
      <c r="G7" s="19">
        <f>SUM(B7:F7)</f>
        <v>9.4499999999999993</v>
      </c>
    </row>
    <row r="9" spans="1:7" ht="18" customHeight="1" x14ac:dyDescent="0.3">
      <c r="A9" s="86" t="s">
        <v>103</v>
      </c>
      <c r="B9" s="86"/>
      <c r="C9" s="86"/>
      <c r="D9" s="86"/>
      <c r="E9" s="86"/>
      <c r="F9" s="86"/>
      <c r="G9" s="86"/>
    </row>
    <row r="10" spans="1:7" ht="28.8" x14ac:dyDescent="0.3">
      <c r="A10" s="1" t="s">
        <v>104</v>
      </c>
      <c r="B10" s="19">
        <f>'Client Inputs'!$B$9*'Client Inputs'!$B$31</f>
        <v>13.5</v>
      </c>
      <c r="C10" s="19">
        <f>'Client Inputs'!$B$9*'Client Inputs'!$B$32</f>
        <v>36</v>
      </c>
      <c r="D10" s="19">
        <f>'Client Inputs'!$B$9*'Client Inputs'!$B$33</f>
        <v>54</v>
      </c>
      <c r="E10" s="19">
        <f>'Client Inputs'!$B$9*'Client Inputs'!$B$33</f>
        <v>54</v>
      </c>
      <c r="F10" s="19">
        <f>'Client Inputs'!$B$9*'Client Inputs'!$B$33</f>
        <v>54</v>
      </c>
      <c r="G10" s="19">
        <f>SUM(B10:F10)</f>
        <v>211.5</v>
      </c>
    </row>
    <row r="12" spans="1:7" x14ac:dyDescent="0.3">
      <c r="A12" s="22" t="s">
        <v>105</v>
      </c>
      <c r="B12" s="24">
        <f>B5+B6+B7+B10</f>
        <v>99.445624999999993</v>
      </c>
      <c r="C12" s="24">
        <f>C5+C6+C7+C10</f>
        <v>125.870075</v>
      </c>
      <c r="D12" s="24">
        <f>D5+D6+D7+D10</f>
        <v>148.10848099999998</v>
      </c>
      <c r="E12" s="24">
        <f>E5+E6+E7+E10</f>
        <v>152.68595948000001</v>
      </c>
      <c r="F12" s="24">
        <f>F5+F6+F7+F10</f>
        <v>157.6296362384</v>
      </c>
      <c r="G12" s="24">
        <f>SUM(B12:F12)</f>
        <v>683.73977671839998</v>
      </c>
    </row>
    <row r="14" spans="1:7" ht="18" customHeight="1" x14ac:dyDescent="0.3">
      <c r="A14" s="86" t="s">
        <v>106</v>
      </c>
      <c r="B14" s="86"/>
      <c r="C14" s="86"/>
      <c r="D14" s="86"/>
      <c r="E14" s="86"/>
      <c r="F14" s="86"/>
      <c r="G14" s="86"/>
    </row>
    <row r="15" spans="1:7" x14ac:dyDescent="0.3">
      <c r="A15" s="1" t="s">
        <v>107</v>
      </c>
      <c r="B15" s="10">
        <f>'Cost of Inaction'!B18*'Client Inputs'!$B$36</f>
        <v>208.8</v>
      </c>
      <c r="C15" s="10">
        <f>'Cost of Inaction'!C18*'Client Inputs'!$B$36</f>
        <v>225.50399999999996</v>
      </c>
      <c r="D15" s="10">
        <f>'Cost of Inaction'!D18*'Client Inputs'!$B$36</f>
        <v>243.54432000000003</v>
      </c>
      <c r="E15" s="10">
        <f>'Cost of Inaction'!E18*'Client Inputs'!$B$36</f>
        <v>263.0278656000001</v>
      </c>
      <c r="F15" s="10">
        <f>'Cost of Inaction'!F18*'Client Inputs'!$B$36</f>
        <v>284.07009484800011</v>
      </c>
      <c r="G15" s="19">
        <f>SUM(B15:F15)</f>
        <v>1224.9462804480002</v>
      </c>
    </row>
    <row r="17" spans="1:7" x14ac:dyDescent="0.3">
      <c r="A17" s="22" t="s">
        <v>108</v>
      </c>
      <c r="B17" s="24">
        <f>B12+B15</f>
        <v>308.24562500000002</v>
      </c>
      <c r="C17" s="24">
        <f>C12+C15</f>
        <v>351.37407499999995</v>
      </c>
      <c r="D17" s="24">
        <f>D12+D15</f>
        <v>391.65280100000001</v>
      </c>
      <c r="E17" s="24">
        <f>E12+E15</f>
        <v>415.71382508000011</v>
      </c>
      <c r="F17" s="24">
        <f>F12+F15</f>
        <v>441.69973108640011</v>
      </c>
      <c r="G17" s="24">
        <f>SUM(B17:F17)</f>
        <v>1908.6860571664001</v>
      </c>
    </row>
  </sheetData>
  <mergeCells count="4">
    <mergeCell ref="A1:G1"/>
    <mergeCell ref="A4:G4"/>
    <mergeCell ref="A9:G9"/>
    <mergeCell ref="A14:G14"/>
  </mergeCells>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6"/>
  <sheetViews>
    <sheetView showGridLines="0" zoomScaleNormal="100" workbookViewId="0"/>
  </sheetViews>
  <sheetFormatPr defaultColWidth="8.6640625" defaultRowHeight="14.4" x14ac:dyDescent="0.3"/>
  <cols>
    <col min="1" max="1" width="46" customWidth="1"/>
    <col min="2" max="6" width="13" customWidth="1"/>
    <col min="7" max="7" width="15" customWidth="1"/>
  </cols>
  <sheetData>
    <row r="1" spans="1:7" ht="27.75" customHeight="1" x14ac:dyDescent="0.3">
      <c r="A1" s="89" t="s">
        <v>109</v>
      </c>
      <c r="B1" s="89"/>
      <c r="C1" s="89"/>
      <c r="D1" s="89"/>
      <c r="E1" s="89"/>
      <c r="F1" s="89"/>
      <c r="G1" s="89"/>
    </row>
    <row r="3" spans="1:7" ht="30" customHeight="1" x14ac:dyDescent="0.3">
      <c r="B3" s="12" t="s">
        <v>73</v>
      </c>
      <c r="C3" s="12" t="s">
        <v>74</v>
      </c>
      <c r="D3" s="12" t="s">
        <v>75</v>
      </c>
      <c r="E3" s="12" t="s">
        <v>76</v>
      </c>
      <c r="F3" s="12" t="s">
        <v>77</v>
      </c>
      <c r="G3" s="12" t="s">
        <v>78</v>
      </c>
    </row>
    <row r="4" spans="1:7" x14ac:dyDescent="0.3">
      <c r="A4" s="1" t="s">
        <v>110</v>
      </c>
      <c r="B4" s="10">
        <f>'GF360 Investment'!B7</f>
        <v>13.5</v>
      </c>
      <c r="C4" s="10">
        <f>'GF360 Investment'!C7</f>
        <v>11.55</v>
      </c>
      <c r="D4" s="10">
        <f>'GF360 Investment'!D7</f>
        <v>12.127500000000001</v>
      </c>
      <c r="E4" s="10">
        <f>'GF360 Investment'!E7</f>
        <v>12.733875000000001</v>
      </c>
      <c r="F4" s="10">
        <f>'GF360 Investment'!F7</f>
        <v>13.370568750000002</v>
      </c>
      <c r="G4" s="10">
        <f>'GF360 Investment'!G7</f>
        <v>63.281943750000011</v>
      </c>
    </row>
    <row r="5" spans="1:7" x14ac:dyDescent="0.3">
      <c r="A5" s="1" t="s">
        <v>111</v>
      </c>
      <c r="B5" s="10">
        <f>'GF360 Benefits'!B12</f>
        <v>99.445624999999993</v>
      </c>
      <c r="C5" s="10">
        <f>'GF360 Benefits'!C12</f>
        <v>125.870075</v>
      </c>
      <c r="D5" s="10">
        <f>'GF360 Benefits'!D12</f>
        <v>148.10848099999998</v>
      </c>
      <c r="E5" s="10">
        <f>'GF360 Benefits'!E12</f>
        <v>152.68595948000001</v>
      </c>
      <c r="F5" s="10">
        <f>'GF360 Benefits'!F12</f>
        <v>157.6296362384</v>
      </c>
      <c r="G5" s="10">
        <f>'GF360 Benefits'!G12</f>
        <v>683.73977671839998</v>
      </c>
    </row>
    <row r="6" spans="1:7" x14ac:dyDescent="0.3">
      <c r="A6" s="22" t="s">
        <v>112</v>
      </c>
      <c r="B6" s="23">
        <f>B5-B4</f>
        <v>85.945624999999993</v>
      </c>
      <c r="C6" s="23">
        <f>C5-C4</f>
        <v>114.320075</v>
      </c>
      <c r="D6" s="23">
        <f>D5-D4</f>
        <v>135.98098099999999</v>
      </c>
      <c r="E6" s="23">
        <f>E5-E4</f>
        <v>139.95208448</v>
      </c>
      <c r="F6" s="23">
        <f>F5-F4</f>
        <v>144.25906748840001</v>
      </c>
      <c r="G6" s="23">
        <f>SUM(B6:F6)</f>
        <v>620.4578329684</v>
      </c>
    </row>
    <row r="7" spans="1:7" x14ac:dyDescent="0.3">
      <c r="A7" s="1" t="s">
        <v>113</v>
      </c>
      <c r="B7" s="19">
        <f>B6</f>
        <v>85.945624999999993</v>
      </c>
      <c r="C7" s="19">
        <f>B7+C6</f>
        <v>200.26569999999998</v>
      </c>
      <c r="D7" s="19">
        <f>C7+D6</f>
        <v>336.24668099999997</v>
      </c>
      <c r="E7" s="19">
        <f>D7+E6</f>
        <v>476.19876547999996</v>
      </c>
      <c r="F7" s="19">
        <f>E7+F6</f>
        <v>620.4578329684</v>
      </c>
      <c r="G7" s="19">
        <f>F7</f>
        <v>620.4578329684</v>
      </c>
    </row>
    <row r="9" spans="1:7" x14ac:dyDescent="0.3">
      <c r="A9" s="1" t="s">
        <v>108</v>
      </c>
      <c r="B9" s="10">
        <f>'GF360 Benefits'!B17</f>
        <v>308.24562500000002</v>
      </c>
      <c r="C9" s="10">
        <f>'GF360 Benefits'!C17</f>
        <v>351.37407499999995</v>
      </c>
      <c r="D9" s="10">
        <f>'GF360 Benefits'!D17</f>
        <v>391.65280100000001</v>
      </c>
      <c r="E9" s="10">
        <f>'GF360 Benefits'!E17</f>
        <v>415.71382508000011</v>
      </c>
      <c r="F9" s="10">
        <f>'GF360 Benefits'!F17</f>
        <v>441.69973108640011</v>
      </c>
      <c r="G9" s="10">
        <f>'GF360 Benefits'!G17</f>
        <v>1908.6860571664001</v>
      </c>
    </row>
    <row r="10" spans="1:7" x14ac:dyDescent="0.3">
      <c r="A10" s="22" t="s">
        <v>114</v>
      </c>
      <c r="B10" s="23">
        <f>B9-B4</f>
        <v>294.74562500000002</v>
      </c>
      <c r="C10" s="23">
        <f>C9-C4</f>
        <v>339.82407499999994</v>
      </c>
      <c r="D10" s="23">
        <f>D9-D4</f>
        <v>379.52530100000001</v>
      </c>
      <c r="E10" s="23">
        <f>E9-E4</f>
        <v>402.97995008000009</v>
      </c>
      <c r="F10" s="23">
        <f>F9-F4</f>
        <v>428.32916233640009</v>
      </c>
      <c r="G10" s="23">
        <f>SUM(B10:F10)</f>
        <v>1845.4041134164002</v>
      </c>
    </row>
    <row r="11" spans="1:7" x14ac:dyDescent="0.3">
      <c r="A11" s="1" t="s">
        <v>115</v>
      </c>
      <c r="B11" s="19">
        <f>B10</f>
        <v>294.74562500000002</v>
      </c>
      <c r="C11" s="19">
        <f>B11+C10</f>
        <v>634.56970000000001</v>
      </c>
      <c r="D11" s="19">
        <f>C11+D10</f>
        <v>1014.095001</v>
      </c>
      <c r="E11" s="19">
        <f>D11+E10</f>
        <v>1417.0749510800001</v>
      </c>
      <c r="F11" s="19">
        <f>E11+F10</f>
        <v>1845.4041134164002</v>
      </c>
      <c r="G11" s="19">
        <f>F11</f>
        <v>1845.4041134164002</v>
      </c>
    </row>
    <row r="13" spans="1:7" ht="18" customHeight="1" x14ac:dyDescent="0.3">
      <c r="A13" s="86" t="s">
        <v>116</v>
      </c>
      <c r="B13" s="86"/>
      <c r="C13" s="86"/>
      <c r="D13" s="86"/>
      <c r="E13" s="86"/>
      <c r="F13" s="86"/>
      <c r="G13" s="86"/>
    </row>
    <row r="14" spans="1:7" ht="25.5" customHeight="1" x14ac:dyDescent="0.3">
      <c r="A14" s="25" t="s">
        <v>117</v>
      </c>
      <c r="B14" s="26" t="s">
        <v>118</v>
      </c>
      <c r="C14" s="26" t="s">
        <v>119</v>
      </c>
    </row>
    <row r="15" spans="1:7" x14ac:dyDescent="0.3">
      <c r="A15" s="1" t="s">
        <v>120</v>
      </c>
      <c r="B15" s="19">
        <f>G6</f>
        <v>620.4578329684</v>
      </c>
      <c r="C15" s="19">
        <f>G10</f>
        <v>1845.4041134164002</v>
      </c>
    </row>
    <row r="16" spans="1:7" x14ac:dyDescent="0.3">
      <c r="A16" s="1" t="s">
        <v>121</v>
      </c>
      <c r="B16" s="27">
        <f>G6/G4</f>
        <v>9.804658267444573</v>
      </c>
      <c r="C16" s="27">
        <f>G10/G4</f>
        <v>29.161621847565321</v>
      </c>
    </row>
    <row r="17" spans="1:3" x14ac:dyDescent="0.3">
      <c r="A17" s="1" t="s">
        <v>122</v>
      </c>
      <c r="B17" s="28">
        <f>IFERROR(IF('GF360 Investment'!$B$5&lt;=0,0,IF(B7&gt;=0,'GF360 Investment'!$B$5*12/(B6+'GF360 Investment'!$B$5),IF(C7&gt;=0,(0-B7)/C6*12+12,IF(D7&gt;=0,(0-C7)/D6*12+24,IF(E7&gt;=0,(0-D7)/E6*12+36,IF(F7&gt;=0,(0-E7)/F6*12+48,"&gt; 5 years")))))),"&gt; 5 years")</f>
        <v>0.33919145237540016</v>
      </c>
      <c r="C17" s="28">
        <f>IFERROR(IF('GF360 Investment'!$B$5&lt;=0,0,IF(B11&gt;=0,'GF360 Investment'!$B$5*12/(B10+'GF360 Investment'!$B$5),IF(C11&gt;=0,(0-B11)/C10*12+12,IF(D11&gt;=0,(0-C11)/D10*12+24,IF(E11&gt;=0,(0-D11)/E10*12+36,IF(F11&gt;=0,(0-E11)/F10*12+48,"&gt; 5 years")))))),"&gt; 5 years")</f>
        <v>0.10092663264598091</v>
      </c>
    </row>
    <row r="18" spans="1:3" x14ac:dyDescent="0.3">
      <c r="A18" s="1" t="s">
        <v>123</v>
      </c>
      <c r="B18" s="19">
        <f>NPV('Client Inputs'!$B$37,B6:F6)</f>
        <v>459.93899871090514</v>
      </c>
      <c r="C18" s="19">
        <f>NPV('Client Inputs'!$B$37,B10:F10)</f>
        <v>1375.1393254446725</v>
      </c>
    </row>
    <row r="19" spans="1:3" x14ac:dyDescent="0.3">
      <c r="A19" s="1" t="s">
        <v>124</v>
      </c>
      <c r="B19" s="27" t="str">
        <f>IFERROR(IRR(B6:F6),"N/A – positive from Yr 1")</f>
        <v>N/A – positive from Yr 1</v>
      </c>
      <c r="C19" s="27" t="str">
        <f>IFERROR(IRR(B10:F10),"N/A – positive from Yr 1")</f>
        <v>N/A – positive from Yr 1</v>
      </c>
    </row>
    <row r="42" spans="1:2" x14ac:dyDescent="0.3">
      <c r="A42" s="22" t="s">
        <v>125</v>
      </c>
    </row>
    <row r="43" spans="1:2" x14ac:dyDescent="0.3">
      <c r="A43" s="1" t="s">
        <v>126</v>
      </c>
      <c r="B43" s="10">
        <f>'GF360 Benefits'!G5</f>
        <v>287.78977671839999</v>
      </c>
    </row>
    <row r="44" spans="1:2" x14ac:dyDescent="0.3">
      <c r="A44" s="1" t="s">
        <v>127</v>
      </c>
      <c r="B44" s="10">
        <f>'GF360 Benefits'!G6</f>
        <v>175</v>
      </c>
    </row>
    <row r="45" spans="1:2" x14ac:dyDescent="0.3">
      <c r="A45" s="1" t="s">
        <v>128</v>
      </c>
      <c r="B45" s="10">
        <f>'GF360 Benefits'!G7</f>
        <v>9.4499999999999993</v>
      </c>
    </row>
    <row r="46" spans="1:2" x14ac:dyDescent="0.3">
      <c r="A46" s="1" t="s">
        <v>129</v>
      </c>
      <c r="B46" s="10">
        <f>'GF360 Benefits'!G10</f>
        <v>211.5</v>
      </c>
    </row>
  </sheetData>
  <mergeCells count="2">
    <mergeCell ref="A1:G1"/>
    <mergeCell ref="A13:G13"/>
  </mergeCells>
  <pageMargins left="0.75" right="0.75" top="1" bottom="1"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showGridLines="0" zoomScaleNormal="100" workbookViewId="0"/>
  </sheetViews>
  <sheetFormatPr defaultColWidth="8.6640625" defaultRowHeight="14.4" x14ac:dyDescent="0.3"/>
  <cols>
    <col min="1" max="1" width="22" customWidth="1"/>
    <col min="2" max="7" width="16" customWidth="1"/>
  </cols>
  <sheetData>
    <row r="1" spans="1:7" ht="27.75" customHeight="1" x14ac:dyDescent="0.3">
      <c r="A1" s="89" t="s">
        <v>130</v>
      </c>
      <c r="B1" s="89"/>
      <c r="C1" s="89"/>
      <c r="D1" s="89"/>
      <c r="E1" s="89"/>
      <c r="F1" s="89"/>
      <c r="G1" s="89"/>
    </row>
    <row r="3" spans="1:7" ht="18" customHeight="1" x14ac:dyDescent="0.3">
      <c r="A3" s="86" t="s">
        <v>131</v>
      </c>
      <c r="B3" s="86"/>
      <c r="C3" s="86"/>
      <c r="D3" s="86"/>
      <c r="E3" s="86"/>
      <c r="F3" s="86"/>
      <c r="G3" s="86"/>
    </row>
    <row r="5" spans="1:7" ht="30" customHeight="1" x14ac:dyDescent="0.3">
      <c r="B5" s="12" t="s">
        <v>132</v>
      </c>
      <c r="C5" s="12" t="s">
        <v>133</v>
      </c>
      <c r="D5" s="12" t="s">
        <v>134</v>
      </c>
      <c r="E5" s="12" t="s">
        <v>135</v>
      </c>
      <c r="F5" s="12" t="s">
        <v>136</v>
      </c>
      <c r="G5" s="12" t="s">
        <v>137</v>
      </c>
    </row>
    <row r="6" spans="1:7" x14ac:dyDescent="0.3">
      <c r="A6" s="1" t="s">
        <v>138</v>
      </c>
      <c r="B6" s="29">
        <v>0.7</v>
      </c>
      <c r="C6" s="19">
        <f>'ROI Summary'!G5*B6</f>
        <v>478.61784370287995</v>
      </c>
      <c r="D6" s="10">
        <f>'ROI Summary'!G4</f>
        <v>63.281943750000011</v>
      </c>
      <c r="E6" s="19">
        <f>C6-D6</f>
        <v>415.33589995287991</v>
      </c>
      <c r="F6" s="27">
        <f>E6/D6</f>
        <v>6.5632607872111999</v>
      </c>
      <c r="G6" s="28">
        <f>D6/(C6/5)*12</f>
        <v>7.933086229348941</v>
      </c>
    </row>
    <row r="7" spans="1:7" x14ac:dyDescent="0.3">
      <c r="A7" s="22" t="s">
        <v>139</v>
      </c>
      <c r="B7" s="29">
        <v>1</v>
      </c>
      <c r="C7" s="19">
        <f>'ROI Summary'!G5*B7</f>
        <v>683.73977671839998</v>
      </c>
      <c r="D7" s="10">
        <f>'ROI Summary'!G4</f>
        <v>63.281943750000011</v>
      </c>
      <c r="E7" s="19">
        <f>C7-D7</f>
        <v>620.4578329684</v>
      </c>
      <c r="F7" s="27">
        <f>E7/D7</f>
        <v>9.804658267444573</v>
      </c>
      <c r="G7" s="28">
        <f>D7/(C7/5)*12</f>
        <v>5.5531603605442577</v>
      </c>
    </row>
    <row r="8" spans="1:7" x14ac:dyDescent="0.3">
      <c r="A8" s="1" t="s">
        <v>140</v>
      </c>
      <c r="B8" s="29">
        <v>1.3</v>
      </c>
      <c r="C8" s="19">
        <f>'ROI Summary'!G5*B8</f>
        <v>888.86170973391995</v>
      </c>
      <c r="D8" s="10">
        <f>'ROI Summary'!G4</f>
        <v>63.281943750000011</v>
      </c>
      <c r="E8" s="19">
        <f>C8-D8</f>
        <v>825.57976598391997</v>
      </c>
      <c r="F8" s="27">
        <f>E8/D8</f>
        <v>13.046055747677944</v>
      </c>
      <c r="G8" s="28">
        <f>D8/(C8/5)*12</f>
        <v>4.2716618158032755</v>
      </c>
    </row>
    <row r="10" spans="1:7" x14ac:dyDescent="0.3">
      <c r="A10" s="95" t="s">
        <v>141</v>
      </c>
      <c r="B10" s="95"/>
      <c r="C10" s="95"/>
      <c r="D10" s="95"/>
      <c r="E10" s="95"/>
      <c r="F10" s="95"/>
      <c r="G10" s="95"/>
    </row>
    <row r="12" spans="1:7" ht="18" customHeight="1" x14ac:dyDescent="0.3">
      <c r="A12" s="86" t="s">
        <v>142</v>
      </c>
      <c r="B12" s="86"/>
      <c r="C12" s="86"/>
      <c r="D12" s="86"/>
      <c r="E12" s="86"/>
      <c r="F12" s="86"/>
      <c r="G12" s="86"/>
    </row>
    <row r="14" spans="1:7" ht="28.8" x14ac:dyDescent="0.3">
      <c r="A14" s="20" t="s">
        <v>143</v>
      </c>
      <c r="B14" s="30">
        <v>0.08</v>
      </c>
      <c r="C14" s="30">
        <v>0.1</v>
      </c>
      <c r="D14" s="30">
        <v>0.12</v>
      </c>
      <c r="E14" s="30">
        <v>0.15</v>
      </c>
      <c r="F14" s="30">
        <v>0.18</v>
      </c>
    </row>
    <row r="15" spans="1:7" x14ac:dyDescent="0.3">
      <c r="A15" s="30">
        <v>0.1</v>
      </c>
      <c r="B15" s="27">
        <f>(('Client Inputs'!$B$6*$A15*'Client Inputs'!$B$13*'Client Inputs'!$B$28*'Client Inputs'!$B$29*'Client Inputs'!$B$30/100000+'Client Inputs'!$B$34+'Client Inputs'!$B$15*'Client Inputs'!$B$14/100000*'Client Inputs'!$B$24+'Client Inputs'!$B$9*B$14)*5-'ROI Summary'!$G$4)/'ROI Summary'!$G$4</f>
        <v>6.9124564659093597</v>
      </c>
      <c r="C15" s="27">
        <f>(('Client Inputs'!$B$6*$A15*'Client Inputs'!$B$13*'Client Inputs'!$B$28*'Client Inputs'!$B$29*'Client Inputs'!$B$30/100000+'Client Inputs'!$B$34+'Client Inputs'!$B$15*'Client Inputs'!$B$14/100000*'Client Inputs'!$B$24+'Client Inputs'!$B$9*C$14)*5-'ROI Summary'!$G$4)/'ROI Summary'!$G$4</f>
        <v>7.6235597812211635</v>
      </c>
      <c r="D15" s="27">
        <f>(('Client Inputs'!$B$6*$A15*'Client Inputs'!$B$13*'Client Inputs'!$B$28*'Client Inputs'!$B$29*'Client Inputs'!$B$30/100000+'Client Inputs'!$B$34+'Client Inputs'!$B$15*'Client Inputs'!$B$14/100000*'Client Inputs'!$B$24+'Client Inputs'!$B$9*D$14)*5-'ROI Summary'!$G$4)/'ROI Summary'!$G$4</f>
        <v>8.3346630965329656</v>
      </c>
      <c r="E15" s="27">
        <f>(('Client Inputs'!$B$6*$A15*'Client Inputs'!$B$13*'Client Inputs'!$B$28*'Client Inputs'!$B$29*'Client Inputs'!$B$30/100000+'Client Inputs'!$B$34+'Client Inputs'!$B$15*'Client Inputs'!$B$14/100000*'Client Inputs'!$B$24+'Client Inputs'!$B$9*E$14)*5-'ROI Summary'!$G$4)/'ROI Summary'!$G$4</f>
        <v>9.4013180695006699</v>
      </c>
      <c r="F15" s="27">
        <f>(('Client Inputs'!$B$6*$A15*'Client Inputs'!$B$13*'Client Inputs'!$B$28*'Client Inputs'!$B$29*'Client Inputs'!$B$30/100000+'Client Inputs'!$B$34+'Client Inputs'!$B$15*'Client Inputs'!$B$14/100000*'Client Inputs'!$B$24+'Client Inputs'!$B$9*F$14)*5-'ROI Summary'!$G$4)/'ROI Summary'!$G$4</f>
        <v>10.467973042468373</v>
      </c>
    </row>
    <row r="16" spans="1:7" x14ac:dyDescent="0.3">
      <c r="A16" s="30">
        <v>0.15</v>
      </c>
      <c r="B16" s="27">
        <f>(('Client Inputs'!$B$6*$A16*'Client Inputs'!$B$13*'Client Inputs'!$B$28*'Client Inputs'!$B$29*'Client Inputs'!$B$30/100000+'Client Inputs'!$B$34+'Client Inputs'!$B$15*'Client Inputs'!$B$14/100000*'Client Inputs'!$B$24+'Client Inputs'!$B$9*B$14)*5-'ROI Summary'!$G$4)/'ROI Summary'!$G$4</f>
        <v>7.9891113292486367</v>
      </c>
      <c r="C16" s="27">
        <f>(('Client Inputs'!$B$6*$A16*'Client Inputs'!$B$13*'Client Inputs'!$B$28*'Client Inputs'!$B$29*'Client Inputs'!$B$30/100000+'Client Inputs'!$B$34+'Client Inputs'!$B$15*'Client Inputs'!$B$14/100000*'Client Inputs'!$B$24+'Client Inputs'!$B$9*C$14)*5-'ROI Summary'!$G$4)/'ROI Summary'!$G$4</f>
        <v>8.7002146445604396</v>
      </c>
      <c r="D16" s="27">
        <f>(('Client Inputs'!$B$6*$A16*'Client Inputs'!$B$13*'Client Inputs'!$B$28*'Client Inputs'!$B$29*'Client Inputs'!$B$30/100000+'Client Inputs'!$B$34+'Client Inputs'!$B$15*'Client Inputs'!$B$14/100000*'Client Inputs'!$B$24+'Client Inputs'!$B$9*D$14)*5-'ROI Summary'!$G$4)/'ROI Summary'!$G$4</f>
        <v>9.4113179598722425</v>
      </c>
      <c r="E16" s="27">
        <f>(('Client Inputs'!$B$6*$A16*'Client Inputs'!$B$13*'Client Inputs'!$B$28*'Client Inputs'!$B$29*'Client Inputs'!$B$30/100000+'Client Inputs'!$B$34+'Client Inputs'!$B$15*'Client Inputs'!$B$14/100000*'Client Inputs'!$B$24+'Client Inputs'!$B$9*E$14)*5-'ROI Summary'!$G$4)/'ROI Summary'!$G$4</f>
        <v>10.477972932839945</v>
      </c>
      <c r="F16" s="27">
        <f>(('Client Inputs'!$B$6*$A16*'Client Inputs'!$B$13*'Client Inputs'!$B$28*'Client Inputs'!$B$29*'Client Inputs'!$B$30/100000+'Client Inputs'!$B$34+'Client Inputs'!$B$15*'Client Inputs'!$B$14/100000*'Client Inputs'!$B$24+'Client Inputs'!$B$9*F$14)*5-'ROI Summary'!$G$4)/'ROI Summary'!$G$4</f>
        <v>11.54462790580765</v>
      </c>
    </row>
    <row r="17" spans="1:7" x14ac:dyDescent="0.3">
      <c r="A17" s="30">
        <v>0.18</v>
      </c>
      <c r="B17" s="27">
        <f>(('Client Inputs'!$B$6*$A17*'Client Inputs'!$B$13*'Client Inputs'!$B$28*'Client Inputs'!$B$29*'Client Inputs'!$B$30/100000+'Client Inputs'!$B$34+'Client Inputs'!$B$15*'Client Inputs'!$B$14/100000*'Client Inputs'!$B$24+'Client Inputs'!$B$9*B$14)*5-'ROI Summary'!$G$4)/'ROI Summary'!$G$4</f>
        <v>8.635104247252201</v>
      </c>
      <c r="C17" s="27">
        <f>(('Client Inputs'!$B$6*$A17*'Client Inputs'!$B$13*'Client Inputs'!$B$28*'Client Inputs'!$B$29*'Client Inputs'!$B$30/100000+'Client Inputs'!$B$34+'Client Inputs'!$B$15*'Client Inputs'!$B$14/100000*'Client Inputs'!$B$24+'Client Inputs'!$B$9*C$14)*5-'ROI Summary'!$G$4)/'ROI Summary'!$G$4</f>
        <v>9.3462075625640058</v>
      </c>
      <c r="D17" s="31">
        <f>(('Client Inputs'!$B$6*$A17*'Client Inputs'!$B$13*'Client Inputs'!$B$28*'Client Inputs'!$B$29*'Client Inputs'!$B$30/100000+'Client Inputs'!$B$34+'Client Inputs'!$B$15*'Client Inputs'!$B$14/100000*'Client Inputs'!$B$24+'Client Inputs'!$B$9*D$14)*5-'ROI Summary'!$G$4)/'ROI Summary'!$G$4</f>
        <v>10.057310877875809</v>
      </c>
      <c r="E17" s="27">
        <f>(('Client Inputs'!$B$6*$A17*'Client Inputs'!$B$13*'Client Inputs'!$B$28*'Client Inputs'!$B$29*'Client Inputs'!$B$30/100000+'Client Inputs'!$B$34+'Client Inputs'!$B$15*'Client Inputs'!$B$14/100000*'Client Inputs'!$B$24+'Client Inputs'!$B$9*E$14)*5-'ROI Summary'!$G$4)/'ROI Summary'!$G$4</f>
        <v>11.123965850843511</v>
      </c>
      <c r="F17" s="27">
        <f>(('Client Inputs'!$B$6*$A17*'Client Inputs'!$B$13*'Client Inputs'!$B$28*'Client Inputs'!$B$29*'Client Inputs'!$B$30/100000+'Client Inputs'!$B$34+'Client Inputs'!$B$15*'Client Inputs'!$B$14/100000*'Client Inputs'!$B$24+'Client Inputs'!$B$9*F$14)*5-'ROI Summary'!$G$4)/'ROI Summary'!$G$4</f>
        <v>12.190620823811216</v>
      </c>
    </row>
    <row r="18" spans="1:7" x14ac:dyDescent="0.3">
      <c r="A18" s="30">
        <v>0.2</v>
      </c>
      <c r="B18" s="27">
        <f>(('Client Inputs'!$B$6*$A18*'Client Inputs'!$B$13*'Client Inputs'!$B$28*'Client Inputs'!$B$29*'Client Inputs'!$B$30/100000+'Client Inputs'!$B$34+'Client Inputs'!$B$15*'Client Inputs'!$B$14/100000*'Client Inputs'!$B$24+'Client Inputs'!$B$9*B$14)*5-'ROI Summary'!$G$4)/'ROI Summary'!$G$4</f>
        <v>9.0657661925879118</v>
      </c>
      <c r="C18" s="27">
        <f>(('Client Inputs'!$B$6*$A18*'Client Inputs'!$B$13*'Client Inputs'!$B$28*'Client Inputs'!$B$29*'Client Inputs'!$B$30/100000+'Client Inputs'!$B$34+'Client Inputs'!$B$15*'Client Inputs'!$B$14/100000*'Client Inputs'!$B$24+'Client Inputs'!$B$9*C$14)*5-'ROI Summary'!$G$4)/'ROI Summary'!$G$4</f>
        <v>9.7768695078997148</v>
      </c>
      <c r="D18" s="27">
        <f>(('Client Inputs'!$B$6*$A18*'Client Inputs'!$B$13*'Client Inputs'!$B$28*'Client Inputs'!$B$29*'Client Inputs'!$B$30/100000+'Client Inputs'!$B$34+'Client Inputs'!$B$15*'Client Inputs'!$B$14/100000*'Client Inputs'!$B$24+'Client Inputs'!$B$9*D$14)*5-'ROI Summary'!$G$4)/'ROI Summary'!$G$4</f>
        <v>10.487972823211518</v>
      </c>
      <c r="E18" s="27">
        <f>(('Client Inputs'!$B$6*$A18*'Client Inputs'!$B$13*'Client Inputs'!$B$28*'Client Inputs'!$B$29*'Client Inputs'!$B$30/100000+'Client Inputs'!$B$34+'Client Inputs'!$B$15*'Client Inputs'!$B$14/100000*'Client Inputs'!$B$24+'Client Inputs'!$B$9*E$14)*5-'ROI Summary'!$G$4)/'ROI Summary'!$G$4</f>
        <v>11.55462779617922</v>
      </c>
      <c r="F18" s="27">
        <f>(('Client Inputs'!$B$6*$A18*'Client Inputs'!$B$13*'Client Inputs'!$B$28*'Client Inputs'!$B$29*'Client Inputs'!$B$30/100000+'Client Inputs'!$B$34+'Client Inputs'!$B$15*'Client Inputs'!$B$14/100000*'Client Inputs'!$B$24+'Client Inputs'!$B$9*F$14)*5-'ROI Summary'!$G$4)/'ROI Summary'!$G$4</f>
        <v>12.621282769146925</v>
      </c>
    </row>
    <row r="19" spans="1:7" x14ac:dyDescent="0.3">
      <c r="A19" s="30">
        <v>0.25</v>
      </c>
      <c r="B19" s="27">
        <f>(('Client Inputs'!$B$6*$A19*'Client Inputs'!$B$13*'Client Inputs'!$B$28*'Client Inputs'!$B$29*'Client Inputs'!$B$30/100000+'Client Inputs'!$B$34+'Client Inputs'!$B$15*'Client Inputs'!$B$14/100000*'Client Inputs'!$B$24+'Client Inputs'!$B$9*B$14)*5-'ROI Summary'!$G$4)/'ROI Summary'!$G$4</f>
        <v>10.142421055927187</v>
      </c>
      <c r="C19" s="27">
        <f>(('Client Inputs'!$B$6*$A19*'Client Inputs'!$B$13*'Client Inputs'!$B$28*'Client Inputs'!$B$29*'Client Inputs'!$B$30/100000+'Client Inputs'!$B$34+'Client Inputs'!$B$15*'Client Inputs'!$B$14/100000*'Client Inputs'!$B$24+'Client Inputs'!$B$9*C$14)*5-'ROI Summary'!$G$4)/'ROI Summary'!$G$4</f>
        <v>10.85352437123899</v>
      </c>
      <c r="D19" s="27">
        <f>(('Client Inputs'!$B$6*$A19*'Client Inputs'!$B$13*'Client Inputs'!$B$28*'Client Inputs'!$B$29*'Client Inputs'!$B$30/100000+'Client Inputs'!$B$34+'Client Inputs'!$B$15*'Client Inputs'!$B$14/100000*'Client Inputs'!$B$24+'Client Inputs'!$B$9*D$14)*5-'ROI Summary'!$G$4)/'ROI Summary'!$G$4</f>
        <v>11.564627686550791</v>
      </c>
      <c r="E19" s="27">
        <f>(('Client Inputs'!$B$6*$A19*'Client Inputs'!$B$13*'Client Inputs'!$B$28*'Client Inputs'!$B$29*'Client Inputs'!$B$30/100000+'Client Inputs'!$B$34+'Client Inputs'!$B$15*'Client Inputs'!$B$14/100000*'Client Inputs'!$B$24+'Client Inputs'!$B$9*E$14)*5-'ROI Summary'!$G$4)/'ROI Summary'!$G$4</f>
        <v>12.631282659518495</v>
      </c>
      <c r="F19" s="27">
        <f>(('Client Inputs'!$B$6*$A19*'Client Inputs'!$B$13*'Client Inputs'!$B$28*'Client Inputs'!$B$29*'Client Inputs'!$B$30/100000+'Client Inputs'!$B$34+'Client Inputs'!$B$15*'Client Inputs'!$B$14/100000*'Client Inputs'!$B$24+'Client Inputs'!$B$9*F$14)*5-'ROI Summary'!$G$4)/'ROI Summary'!$G$4</f>
        <v>13.697937632486198</v>
      </c>
    </row>
    <row r="20" spans="1:7" x14ac:dyDescent="0.3">
      <c r="A20" s="30">
        <v>0.3</v>
      </c>
      <c r="B20" s="27">
        <f>(('Client Inputs'!$B$6*$A20*'Client Inputs'!$B$13*'Client Inputs'!$B$28*'Client Inputs'!$B$29*'Client Inputs'!$B$30/100000+'Client Inputs'!$B$34+'Client Inputs'!$B$15*'Client Inputs'!$B$14/100000*'Client Inputs'!$B$24+'Client Inputs'!$B$9*B$14)*5-'ROI Summary'!$G$4)/'ROI Summary'!$G$4</f>
        <v>11.219075919266464</v>
      </c>
      <c r="C20" s="27">
        <f>(('Client Inputs'!$B$6*$A20*'Client Inputs'!$B$13*'Client Inputs'!$B$28*'Client Inputs'!$B$29*'Client Inputs'!$B$30/100000+'Client Inputs'!$B$34+'Client Inputs'!$B$15*'Client Inputs'!$B$14/100000*'Client Inputs'!$B$24+'Client Inputs'!$B$9*C$14)*5-'ROI Summary'!$G$4)/'ROI Summary'!$G$4</f>
        <v>11.930179234578267</v>
      </c>
      <c r="D20" s="27">
        <f>(('Client Inputs'!$B$6*$A20*'Client Inputs'!$B$13*'Client Inputs'!$B$28*'Client Inputs'!$B$29*'Client Inputs'!$B$30/100000+'Client Inputs'!$B$34+'Client Inputs'!$B$15*'Client Inputs'!$B$14/100000*'Client Inputs'!$B$24+'Client Inputs'!$B$9*D$14)*5-'ROI Summary'!$G$4)/'ROI Summary'!$G$4</f>
        <v>12.64128254989007</v>
      </c>
      <c r="E20" s="27">
        <f>(('Client Inputs'!$B$6*$A20*'Client Inputs'!$B$13*'Client Inputs'!$B$28*'Client Inputs'!$B$29*'Client Inputs'!$B$30/100000+'Client Inputs'!$B$34+'Client Inputs'!$B$15*'Client Inputs'!$B$14/100000*'Client Inputs'!$B$24+'Client Inputs'!$B$9*E$14)*5-'ROI Summary'!$G$4)/'ROI Summary'!$G$4</f>
        <v>13.707937522857772</v>
      </c>
      <c r="F20" s="27">
        <f>(('Client Inputs'!$B$6*$A20*'Client Inputs'!$B$13*'Client Inputs'!$B$28*'Client Inputs'!$B$29*'Client Inputs'!$B$30/100000+'Client Inputs'!$B$34+'Client Inputs'!$B$15*'Client Inputs'!$B$14/100000*'Client Inputs'!$B$24+'Client Inputs'!$B$9*F$14)*5-'ROI Summary'!$G$4)/'ROI Summary'!$G$4</f>
        <v>14.774592495825477</v>
      </c>
    </row>
    <row r="22" spans="1:7" ht="30" customHeight="1" x14ac:dyDescent="0.3">
      <c r="A22" s="90" t="s">
        <v>144</v>
      </c>
      <c r="B22" s="90"/>
      <c r="C22" s="90"/>
      <c r="D22" s="90"/>
      <c r="E22" s="90"/>
      <c r="F22" s="90"/>
      <c r="G22" s="90"/>
    </row>
  </sheetData>
  <mergeCells count="5">
    <mergeCell ref="A1:G1"/>
    <mergeCell ref="A3:G3"/>
    <mergeCell ref="A10:G10"/>
    <mergeCell ref="A12:G12"/>
    <mergeCell ref="A22:G2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2"/>
  <sheetViews>
    <sheetView showGridLines="0" zoomScaleNormal="100" workbookViewId="0"/>
  </sheetViews>
  <sheetFormatPr defaultColWidth="8.6640625" defaultRowHeight="14.4" x14ac:dyDescent="0.3"/>
  <cols>
    <col min="1" max="1" width="44" customWidth="1"/>
    <col min="2" max="2" width="16" customWidth="1"/>
    <col min="3" max="3" width="70" customWidth="1"/>
  </cols>
  <sheetData>
    <row r="1" spans="1:3" ht="27.75" customHeight="1" x14ac:dyDescent="0.3">
      <c r="A1" s="89" t="s">
        <v>145</v>
      </c>
      <c r="B1" s="89"/>
      <c r="C1" s="89"/>
    </row>
    <row r="3" spans="1:3" ht="30" customHeight="1" x14ac:dyDescent="0.3">
      <c r="A3" s="25" t="s">
        <v>146</v>
      </c>
      <c r="B3" s="12" t="s">
        <v>147</v>
      </c>
      <c r="C3" s="12" t="s">
        <v>148</v>
      </c>
    </row>
    <row r="4" spans="1:3" ht="31.5" customHeight="1" x14ac:dyDescent="0.3">
      <c r="A4" s="32" t="s">
        <v>149</v>
      </c>
      <c r="B4" s="33" t="s">
        <v>150</v>
      </c>
      <c r="C4" s="34" t="s">
        <v>151</v>
      </c>
    </row>
    <row r="5" spans="1:3" ht="31.5" customHeight="1" x14ac:dyDescent="0.3">
      <c r="A5" s="1" t="s">
        <v>152</v>
      </c>
      <c r="B5" s="35" t="s">
        <v>153</v>
      </c>
      <c r="C5" s="36" t="s">
        <v>154</v>
      </c>
    </row>
    <row r="6" spans="1:3" ht="31.5" customHeight="1" x14ac:dyDescent="0.3">
      <c r="A6" s="32" t="s">
        <v>155</v>
      </c>
      <c r="B6" s="33" t="s">
        <v>156</v>
      </c>
      <c r="C6" s="34" t="s">
        <v>157</v>
      </c>
    </row>
    <row r="7" spans="1:3" ht="31.5" customHeight="1" x14ac:dyDescent="0.3">
      <c r="A7" s="1" t="s">
        <v>158</v>
      </c>
      <c r="B7" s="35" t="s">
        <v>159</v>
      </c>
      <c r="C7" s="36" t="s">
        <v>160</v>
      </c>
    </row>
    <row r="8" spans="1:3" ht="31.5" customHeight="1" x14ac:dyDescent="0.3">
      <c r="A8" s="32" t="s">
        <v>161</v>
      </c>
      <c r="B8" s="33" t="s">
        <v>162</v>
      </c>
      <c r="C8" s="34" t="s">
        <v>163</v>
      </c>
    </row>
    <row r="9" spans="1:3" ht="31.5" customHeight="1" x14ac:dyDescent="0.3">
      <c r="A9" s="1" t="s">
        <v>164</v>
      </c>
      <c r="B9" s="35" t="s">
        <v>165</v>
      </c>
      <c r="C9" s="36" t="s">
        <v>166</v>
      </c>
    </row>
    <row r="10" spans="1:3" ht="31.5" customHeight="1" x14ac:dyDescent="0.3">
      <c r="A10" s="32" t="s">
        <v>167</v>
      </c>
      <c r="B10" s="33" t="s">
        <v>168</v>
      </c>
      <c r="C10" s="34" t="s">
        <v>169</v>
      </c>
    </row>
    <row r="11" spans="1:3" ht="31.5" customHeight="1" x14ac:dyDescent="0.3">
      <c r="A11" s="1" t="s">
        <v>170</v>
      </c>
      <c r="B11" s="35" t="s">
        <v>171</v>
      </c>
      <c r="C11" s="36" t="s">
        <v>172</v>
      </c>
    </row>
    <row r="12" spans="1:3" ht="31.5" customHeight="1" x14ac:dyDescent="0.3">
      <c r="A12" s="32" t="s">
        <v>173</v>
      </c>
      <c r="B12" s="33" t="s">
        <v>174</v>
      </c>
      <c r="C12" s="34" t="s">
        <v>175</v>
      </c>
    </row>
    <row r="13" spans="1:3" ht="31.5" customHeight="1" x14ac:dyDescent="0.3">
      <c r="A13" s="1" t="s">
        <v>176</v>
      </c>
      <c r="B13" s="35" t="s">
        <v>177</v>
      </c>
      <c r="C13" s="36" t="s">
        <v>178</v>
      </c>
    </row>
    <row r="14" spans="1:3" ht="31.5" customHeight="1" x14ac:dyDescent="0.3">
      <c r="A14" s="32" t="s">
        <v>179</v>
      </c>
      <c r="B14" s="33" t="s">
        <v>180</v>
      </c>
      <c r="C14" s="34" t="s">
        <v>181</v>
      </c>
    </row>
    <row r="15" spans="1:3" ht="31.5" customHeight="1" x14ac:dyDescent="0.3">
      <c r="A15" s="1" t="s">
        <v>182</v>
      </c>
      <c r="B15" s="35" t="s">
        <v>183</v>
      </c>
      <c r="C15" s="36" t="s">
        <v>184</v>
      </c>
    </row>
    <row r="16" spans="1:3" ht="37.799999999999997" x14ac:dyDescent="0.3">
      <c r="A16" s="1" t="s">
        <v>1161</v>
      </c>
      <c r="B16" s="35" t="s">
        <v>870</v>
      </c>
      <c r="C16" s="36" t="s">
        <v>1162</v>
      </c>
    </row>
    <row r="17" spans="1:3" ht="27.6" x14ac:dyDescent="0.3">
      <c r="A17" s="1" t="s">
        <v>1163</v>
      </c>
      <c r="B17" s="35" t="s">
        <v>1164</v>
      </c>
      <c r="C17" s="36" t="s">
        <v>1165</v>
      </c>
    </row>
    <row r="18" spans="1:3" ht="37.799999999999997" x14ac:dyDescent="0.3">
      <c r="A18" s="1" t="s">
        <v>1166</v>
      </c>
      <c r="B18" s="35" t="s">
        <v>1167</v>
      </c>
      <c r="C18" s="36" t="s">
        <v>1168</v>
      </c>
    </row>
    <row r="19" spans="1:3" ht="27.6" x14ac:dyDescent="0.3">
      <c r="A19" s="1" t="s">
        <v>1169</v>
      </c>
      <c r="B19" s="35" t="s">
        <v>1170</v>
      </c>
      <c r="C19" s="36" t="s">
        <v>1171</v>
      </c>
    </row>
    <row r="20" spans="1:3" ht="27.6" x14ac:dyDescent="0.3">
      <c r="A20" s="1" t="s">
        <v>1172</v>
      </c>
      <c r="B20" s="35" t="s">
        <v>1173</v>
      </c>
      <c r="C20" s="36" t="s">
        <v>1174</v>
      </c>
    </row>
    <row r="22" spans="1:3" ht="31.5" customHeight="1" x14ac:dyDescent="0.3">
      <c r="A22" s="96" t="s">
        <v>185</v>
      </c>
      <c r="B22" s="96"/>
      <c r="C22" s="96"/>
    </row>
  </sheetData>
  <mergeCells count="2">
    <mergeCell ref="A1:C1"/>
    <mergeCell ref="A22:C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Client Inputs</vt:lpstr>
      <vt:lpstr>Pricing Tiers</vt:lpstr>
      <vt:lpstr>Auto Ancillary Activities</vt:lpstr>
      <vt:lpstr>Emission Factors (India)</vt:lpstr>
      <vt:lpstr>Process Flow Diagrams</vt:lpstr>
      <vt:lpstr>Custom Process Flow</vt:lpstr>
      <vt:lpstr>Cost of Inaction</vt:lpstr>
      <vt:lpstr>GF360 Investment</vt:lpstr>
      <vt:lpstr>GF360 Benefits</vt:lpstr>
      <vt:lpstr>ROI Summary</vt:lpstr>
      <vt:lpstr>Sensitivity</vt:lpstr>
      <vt:lpstr>Assumptions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Zorgan V</cp:lastModifiedBy>
  <cp:revision>1</cp:revision>
  <dcterms:created xsi:type="dcterms:W3CDTF">2026-07-08T00:57:08Z</dcterms:created>
  <dcterms:modified xsi:type="dcterms:W3CDTF">2026-07-14T10:44:47Z</dcterms:modified>
  <dc:language>en-US</dc:language>
</cp:coreProperties>
</file>